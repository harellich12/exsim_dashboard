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_CONFIG" sheetId="1" state="visible" r:id="rId1"/>
    <sheet name="COST_ANALYSIS" sheetId="2" state="visible" r:id="rId2"/>
    <sheet name="MRP_ENGINE" sheetId="3" state="visible" r:id="rId3"/>
    <sheet name="CASH_FLOW_PREVIEW" sheetId="4" state="visible" r:id="rId4"/>
    <sheet name="UPLOAD_READY_PROCUR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5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0</v>
      </c>
      <c r="D6" s="7" t="n">
        <v>0</v>
      </c>
      <c r="E6" s="6" t="n">
        <v>0</v>
      </c>
      <c r="F6" s="6" t="n">
        <v>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0</v>
      </c>
      <c r="D7" s="7" t="n">
        <v>0</v>
      </c>
      <c r="E7" s="6" t="n">
        <v>0</v>
      </c>
      <c r="F7" s="6" t="n">
        <v>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0</v>
      </c>
      <c r="D8" s="7" t="n">
        <v>0</v>
      </c>
      <c r="E8" s="6" t="n">
        <v>0</v>
      </c>
      <c r="F8" s="6" t="n">
        <v>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0</v>
      </c>
      <c r="D9" s="7" t="n">
        <v>0</v>
      </c>
      <c r="E9" s="6" t="n">
        <v>0</v>
      </c>
      <c r="F9" s="6" t="n">
        <v>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0</v>
      </c>
      <c r="D10" s="7" t="n">
        <v>0</v>
      </c>
      <c r="E10" s="6" t="n">
        <v>0</v>
      </c>
      <c r="F10" s="6" t="n">
        <v>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0</v>
      </c>
      <c r="D11" s="7" t="n">
        <v>0</v>
      </c>
      <c r="E11" s="6" t="n">
        <v>0</v>
      </c>
      <c r="F11" s="6" t="n">
        <v>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0</v>
      </c>
      <c r="C16" s="6" t="n">
        <v>0</v>
      </c>
    </row>
    <row r="17">
      <c r="A17" s="5" t="inlineStr">
        <is>
          <t>Piece 2</t>
        </is>
      </c>
      <c r="B17" s="7" t="n">
        <v>0</v>
      </c>
      <c r="C17" s="6" t="n">
        <v>0</v>
      </c>
    </row>
    <row r="18">
      <c r="A18" s="5" t="inlineStr">
        <is>
          <t>Piece 3</t>
        </is>
      </c>
      <c r="B18" s="7" t="n">
        <v>0</v>
      </c>
      <c r="C18" s="6" t="n">
        <v>0</v>
      </c>
    </row>
    <row r="19">
      <c r="A19" s="5" t="inlineStr">
        <is>
          <t>Piece 4</t>
        </is>
      </c>
      <c r="B19" s="7" t="n">
        <v>0</v>
      </c>
      <c r="C19" s="6" t="n">
        <v>0</v>
      </c>
    </row>
    <row r="20">
      <c r="A20" s="5" t="inlineStr">
        <is>
          <t>Piece 5</t>
        </is>
      </c>
      <c r="B20" s="7" t="n">
        <v>0</v>
      </c>
      <c r="C20" s="6" t="n">
        <v>0</v>
      </c>
    </row>
    <row r="21">
      <c r="A21" s="5" t="inlineStr">
        <is>
          <t>Piece 6</t>
        </is>
      </c>
      <c r="B21" s="7" t="n">
        <v>0</v>
      </c>
      <c r="C21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24244</v>
      </c>
    </row>
    <row r="6">
      <c r="A6" s="5" t="inlineStr">
        <is>
          <t>Holding Cost (Total)</t>
        </is>
      </c>
      <c r="B6" s="8" t="n">
        <v>3572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</sheetData>
  <mergeCells count="1">
    <mergeCell ref="A17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4" t="inlineStr">
        <is>
          <t>FN1</t>
        </is>
      </c>
      <c r="C5" s="14" t="inlineStr">
        <is>
          <t>FN2</t>
        </is>
      </c>
      <c r="D5" s="14" t="inlineStr">
        <is>
          <t>FN3</t>
        </is>
      </c>
      <c r="E5" s="14" t="inlineStr">
        <is>
          <t>FN4</t>
        </is>
      </c>
      <c r="F5" s="14" t="inlineStr">
        <is>
          <t>FN5</t>
        </is>
      </c>
      <c r="G5" s="14" t="inlineStr">
        <is>
          <t>FN6</t>
        </is>
      </c>
      <c r="H5" s="14" t="inlineStr">
        <is>
          <t>FN7</t>
        </is>
      </c>
      <c r="I5" s="14" t="inlineStr">
        <is>
          <t>FN8</t>
        </is>
      </c>
    </row>
    <row r="6">
      <c r="A6" s="5" t="inlineStr">
        <is>
          <t>Target Production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9">
      <c r="A9" s="3" t="inlineStr">
        <is>
          <t>SECTION B: NET REQUIREMENTS CALCULATION</t>
        </is>
      </c>
    </row>
    <row r="11">
      <c r="A11" s="15" t="inlineStr">
        <is>
          <t>PART A</t>
        </is>
      </c>
    </row>
    <row r="12">
      <c r="A12" s="5" t="inlineStr">
        <is>
          <t>Gross Requirement</t>
        </is>
      </c>
      <c r="B12" s="16">
        <f>$B$6</f>
        <v/>
      </c>
      <c r="C12" s="16">
        <f>$B$6</f>
        <v/>
      </c>
      <c r="D12" s="16">
        <f>$B$6</f>
        <v/>
      </c>
      <c r="E12" s="16">
        <f>$B$6</f>
        <v/>
      </c>
      <c r="F12" s="16">
        <f>$B$6</f>
        <v/>
      </c>
      <c r="G12" s="16">
        <f>$B$6</f>
        <v/>
      </c>
      <c r="H12" s="16">
        <f>$B$6</f>
        <v/>
      </c>
      <c r="I12" s="16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7">
        <f>0.0+B13-B12</f>
        <v/>
      </c>
      <c r="C14" s="17">
        <f>B14+C13-C12</f>
        <v/>
      </c>
      <c r="D14" s="17">
        <f>C14+D13-D12</f>
        <v/>
      </c>
      <c r="E14" s="17">
        <f>D14+E13-E12</f>
        <v/>
      </c>
      <c r="F14" s="17">
        <f>E14+F13-F12</f>
        <v/>
      </c>
      <c r="G14" s="17">
        <f>F14+G13-G12</f>
        <v/>
      </c>
      <c r="H14" s="17">
        <f>G14+H13-H12</f>
        <v/>
      </c>
      <c r="I14" s="17">
        <f>H14+I13-I12</f>
        <v/>
      </c>
    </row>
    <row r="15">
      <c r="A15" s="5" t="inlineStr">
        <is>
          <t>Net Deficit (if negative)</t>
        </is>
      </c>
      <c r="B15" s="18">
        <f>IF(B14&lt;0, -B14, 0)</f>
        <v/>
      </c>
      <c r="C15" s="18">
        <f>IF(C14&lt;0, -C14, 0)</f>
        <v/>
      </c>
      <c r="D15" s="18">
        <f>IF(D14&lt;0, -D14, 0)</f>
        <v/>
      </c>
      <c r="E15" s="18">
        <f>IF(E14&lt;0, -E14, 0)</f>
        <v/>
      </c>
      <c r="F15" s="18">
        <f>IF(F14&lt;0, -F14, 0)</f>
        <v/>
      </c>
      <c r="G15" s="18">
        <f>IF(G14&lt;0, -G14, 0)</f>
        <v/>
      </c>
      <c r="H15" s="18">
        <f>IF(H14&lt;0, -H14, 0)</f>
        <v/>
      </c>
      <c r="I15" s="18">
        <f>IF(I14&lt;0, -I14, 0)</f>
        <v/>
      </c>
    </row>
    <row r="17">
      <c r="A17" s="15" t="inlineStr">
        <is>
          <t>PART B</t>
        </is>
      </c>
    </row>
    <row r="18">
      <c r="A18" s="5" t="inlineStr">
        <is>
          <t>Gross Requirement</t>
        </is>
      </c>
      <c r="B18" s="16">
        <f>$B$6</f>
        <v/>
      </c>
      <c r="C18" s="16">
        <f>$B$6</f>
        <v/>
      </c>
      <c r="D18" s="16">
        <f>$B$6</f>
        <v/>
      </c>
      <c r="E18" s="16">
        <f>$B$6</f>
        <v/>
      </c>
      <c r="F18" s="16">
        <f>$B$6</f>
        <v/>
      </c>
      <c r="G18" s="16">
        <f>$B$6</f>
        <v/>
      </c>
      <c r="H18" s="16">
        <f>$B$6</f>
        <v/>
      </c>
      <c r="I18" s="16">
        <f>$B$6</f>
        <v/>
      </c>
    </row>
    <row r="19">
      <c r="A19" s="5" t="inlineStr">
        <is>
          <t>Scheduled Arrivals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Projected Inventory</t>
        </is>
      </c>
      <c r="B20" s="17">
        <f>0.0+B19-B18</f>
        <v/>
      </c>
      <c r="C20" s="17">
        <f>B20+C19-C18</f>
        <v/>
      </c>
      <c r="D20" s="17">
        <f>C20+D19-D18</f>
        <v/>
      </c>
      <c r="E20" s="17">
        <f>D20+E19-E18</f>
        <v/>
      </c>
      <c r="F20" s="17">
        <f>E20+F19-F18</f>
        <v/>
      </c>
      <c r="G20" s="17">
        <f>F20+G19-G18</f>
        <v/>
      </c>
      <c r="H20" s="17">
        <f>G20+H19-H18</f>
        <v/>
      </c>
      <c r="I20" s="17">
        <f>H20+I19-I18</f>
        <v/>
      </c>
    </row>
    <row r="21">
      <c r="A21" s="5" t="inlineStr">
        <is>
          <t>Net Deficit (if negative)</t>
        </is>
      </c>
      <c r="B21" s="18">
        <f>IF(B20&lt;0, -B20, 0)</f>
        <v/>
      </c>
      <c r="C21" s="18">
        <f>IF(C20&lt;0, -C20, 0)</f>
        <v/>
      </c>
      <c r="D21" s="18">
        <f>IF(D20&lt;0, -D20, 0)</f>
        <v/>
      </c>
      <c r="E21" s="18">
        <f>IF(E20&lt;0, -E20, 0)</f>
        <v/>
      </c>
      <c r="F21" s="18">
        <f>IF(F20&lt;0, -F20, 0)</f>
        <v/>
      </c>
      <c r="G21" s="18">
        <f>IF(G20&lt;0, -G20, 0)</f>
        <v/>
      </c>
      <c r="H21" s="18">
        <f>IF(H20&lt;0, -H20, 0)</f>
        <v/>
      </c>
      <c r="I21" s="18">
        <f>IF(I20&lt;0, -I20, 0)</f>
        <v/>
      </c>
    </row>
    <row r="23">
      <c r="A23" s="3" t="inlineStr">
        <is>
          <t>SECTION C: SOURCING STRATEGY (Order Inputs)</t>
        </is>
      </c>
    </row>
    <row r="24">
      <c r="A24" s="2" t="inlineStr">
        <is>
          <t>NOTE: Orders arrive AFTER Lead Time. Enter in the FN you want to ORDER, not when it arrives.</t>
        </is>
      </c>
    </row>
    <row r="26">
      <c r="A26" s="19" t="inlineStr">
        <is>
          <t>ORDERS FOR PART A</t>
        </is>
      </c>
    </row>
    <row r="27">
      <c r="A27" s="5" t="inlineStr">
        <is>
          <t>Order Supplier A (Lead:0, Batch:0)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</row>
    <row r="28">
      <c r="A28" s="5" t="inlineStr">
        <is>
          <t>Order Supplier B (Lead:0, Batch:0)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</row>
    <row r="29">
      <c r="A29" s="5" t="inlineStr">
        <is>
          <t>Order Supplier C (Lead:0, Batch:0)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</row>
    <row r="30">
      <c r="A30" s="5" t="inlineStr">
        <is>
          <t>Batch Compliance Check</t>
        </is>
      </c>
      <c r="B30" s="17" t="inlineStr">
        <is>
          <t>OK</t>
        </is>
      </c>
      <c r="C30" s="17" t="inlineStr">
        <is>
          <t>OK</t>
        </is>
      </c>
      <c r="D30" s="17" t="inlineStr">
        <is>
          <t>OK</t>
        </is>
      </c>
      <c r="E30" s="17" t="inlineStr">
        <is>
          <t>OK</t>
        </is>
      </c>
      <c r="F30" s="17" t="inlineStr">
        <is>
          <t>OK</t>
        </is>
      </c>
      <c r="G30" s="17" t="inlineStr">
        <is>
          <t>OK</t>
        </is>
      </c>
      <c r="H30" s="17" t="inlineStr">
        <is>
          <t>OK</t>
        </is>
      </c>
      <c r="I30" s="17" t="inlineStr">
        <is>
          <t>OK</t>
        </is>
      </c>
    </row>
    <row r="32">
      <c r="A32" s="19" t="inlineStr">
        <is>
          <t>ORDERS FOR PART B</t>
        </is>
      </c>
    </row>
    <row r="33">
      <c r="A33" s="5" t="inlineStr">
        <is>
          <t>Order Supplier A (Lead:0, Batch:0)</t>
        </is>
      </c>
      <c r="B33" s="6" t="n">
        <v>0</v>
      </c>
      <c r="C33" s="6" t="n">
        <v>0</v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</row>
    <row r="34">
      <c r="A34" s="5" t="inlineStr">
        <is>
          <t>Order Supplier B (Lead:0, Batch:0)</t>
        </is>
      </c>
      <c r="B34" s="6" t="n">
        <v>0</v>
      </c>
      <c r="C34" s="6" t="n">
        <v>0</v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</row>
    <row r="35">
      <c r="A35" s="5" t="inlineStr">
        <is>
          <t>Order Supplier C (Lead:0, Batch:0)</t>
        </is>
      </c>
      <c r="B35" s="6" t="n">
        <v>0</v>
      </c>
      <c r="C35" s="6" t="n">
        <v>0</v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</row>
    <row r="36">
      <c r="A36" s="5" t="inlineStr">
        <is>
          <t>Batch Compliance Check</t>
        </is>
      </c>
      <c r="B36" s="17" t="inlineStr">
        <is>
          <t>OK</t>
        </is>
      </c>
      <c r="C36" s="17" t="inlineStr">
        <is>
          <t>OK</t>
        </is>
      </c>
      <c r="D36" s="17" t="inlineStr">
        <is>
          <t>OK</t>
        </is>
      </c>
      <c r="E36" s="17" t="inlineStr">
        <is>
          <t>OK</t>
        </is>
      </c>
      <c r="F36" s="17" t="inlineStr">
        <is>
          <t>OK</t>
        </is>
      </c>
      <c r="G36" s="17" t="inlineStr">
        <is>
          <t>OK</t>
        </is>
      </c>
      <c r="H36" s="17" t="inlineStr">
        <is>
          <t>OK</t>
        </is>
      </c>
      <c r="I36" s="17" t="inlineStr">
        <is>
          <t>OK</t>
        </is>
      </c>
    </row>
  </sheetData>
  <conditionalFormatting sqref="B14:I14">
    <cfRule type="expression" priority="1" dxfId="0">
      <formula>B14&lt;0</formula>
    </cfRule>
  </conditionalFormatting>
  <conditionalFormatting sqref="B20:I20">
    <cfRule type="expression" priority="2" dxfId="0">
      <formula>B20&lt;0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FORTNIGHT</t>
        </is>
      </c>
    </row>
    <row r="5">
      <c r="A5" s="13" t="inlineStr">
        <is>
          <t>Category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Part A Orders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>
        <f>SUM(B6:I6)</f>
        <v/>
      </c>
    </row>
    <row r="7">
      <c r="A7" s="5" t="inlineStr">
        <is>
          <t>Part B Orders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>
        <f>SUM(B7:I7)</f>
        <v/>
      </c>
    </row>
    <row r="8">
      <c r="A8" s="5" t="inlineStr">
        <is>
          <t>Pieces Orders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5">
        <f>SUM(B8:I8)</f>
        <v/>
      </c>
    </row>
    <row r="9">
      <c r="A9" s="19" t="inlineStr">
        <is>
          <t>TOTAL SPEND</t>
        </is>
      </c>
      <c r="B9" s="20">
        <f>SUM(B6:B8)</f>
        <v/>
      </c>
      <c r="C9" s="20">
        <f>SUM(C6:C8)</f>
        <v/>
      </c>
      <c r="D9" s="20">
        <f>SUM(D6:D8)</f>
        <v/>
      </c>
      <c r="E9" s="20">
        <f>SUM(E6:E8)</f>
        <v/>
      </c>
      <c r="F9" s="20">
        <f>SUM(F6:F8)</f>
        <v/>
      </c>
      <c r="G9" s="20">
        <f>SUM(G6:G8)</f>
        <v/>
      </c>
      <c r="H9" s="20">
        <f>SUM(H6:H8)</f>
        <v/>
      </c>
      <c r="I9" s="20">
        <f>SUM(I6:I8)</f>
        <v/>
      </c>
      <c r="J9" s="21">
        <f>SUM(B9:I9)</f>
        <v/>
      </c>
    </row>
    <row r="10">
      <c r="A10" s="19" t="inlineStr">
        <is>
          <t>CUMULATIVE SPEND</t>
        </is>
      </c>
      <c r="B10" s="22">
        <f>B9</f>
        <v/>
      </c>
      <c r="C10" s="22">
        <f>B10+C9</f>
        <v/>
      </c>
      <c r="D10" s="22">
        <f>C10+D9</f>
        <v/>
      </c>
      <c r="E10" s="22">
        <f>D10+E9</f>
        <v/>
      </c>
      <c r="F10" s="22">
        <f>E10+F9</f>
        <v/>
      </c>
      <c r="G10" s="22">
        <f>F10+G9</f>
        <v/>
      </c>
      <c r="H10" s="22">
        <f>G10+H9</f>
        <v/>
      </c>
      <c r="I10" s="22">
        <f>H10+I9</f>
        <v/>
      </c>
    </row>
    <row r="13">
      <c r="A13" s="3" t="inlineStr">
        <is>
          <t>BUDGET TRACKING</t>
        </is>
      </c>
    </row>
    <row r="14">
      <c r="A14" s="5" t="inlineStr">
        <is>
          <t>Total Budget</t>
        </is>
      </c>
      <c r="B14" s="23" t="n">
        <v>100000</v>
      </c>
    </row>
    <row r="15">
      <c r="A15" s="5" t="inlineStr">
        <is>
          <t>Total Projected Spend</t>
        </is>
      </c>
      <c r="B15" s="9">
        <f>J9</f>
        <v/>
      </c>
    </row>
    <row r="16">
      <c r="A16" s="5" t="inlineStr">
        <is>
          <t>Remaining Budget</t>
        </is>
      </c>
      <c r="B16" s="20">
        <f>B14-B15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MRP_ENGINE!B27</f>
        <v/>
      </c>
      <c r="E6" s="6">
        <f>MRP_ENGINE!C27</f>
        <v/>
      </c>
      <c r="F6" s="6">
        <f>MRP_ENGINE!D27</f>
        <v/>
      </c>
      <c r="G6" s="6">
        <f>MRP_ENGINE!E27</f>
        <v/>
      </c>
      <c r="H6" s="6">
        <f>MRP_ENGINE!F27</f>
        <v/>
      </c>
      <c r="I6" s="6">
        <f>MRP_ENGINE!G27</f>
        <v/>
      </c>
      <c r="J6" s="6">
        <f>MRP_ENGINE!H27</f>
        <v/>
      </c>
      <c r="K6" s="6">
        <f>MRP_ENGINE!I27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MRP_ENGINE!B33</f>
        <v/>
      </c>
      <c r="E7" s="6">
        <f>MRP_ENGINE!C33</f>
        <v/>
      </c>
      <c r="F7" s="6">
        <f>MRP_ENGINE!D33</f>
        <v/>
      </c>
      <c r="G7" s="6">
        <f>MRP_ENGINE!E33</f>
        <v/>
      </c>
      <c r="H7" s="6">
        <f>MRP_ENGINE!F33</f>
        <v/>
      </c>
      <c r="I7" s="6">
        <f>MRP_ENGINE!G33</f>
        <v/>
      </c>
      <c r="J7" s="6">
        <f>MRP_ENGINE!H33</f>
        <v/>
      </c>
      <c r="K7" s="6">
        <f>MRP_ENGINE!I33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MRP_ENGINE!B28</f>
        <v/>
      </c>
      <c r="E8" s="6">
        <f>MRP_ENGINE!C28</f>
        <v/>
      </c>
      <c r="F8" s="6">
        <f>MRP_ENGINE!D28</f>
        <v/>
      </c>
      <c r="G8" s="6">
        <f>MRP_ENGINE!E28</f>
        <v/>
      </c>
      <c r="H8" s="6">
        <f>MRP_ENGINE!F28</f>
        <v/>
      </c>
      <c r="I8" s="6">
        <f>MRP_ENGINE!G28</f>
        <v/>
      </c>
      <c r="J8" s="6">
        <f>MRP_ENGINE!H28</f>
        <v/>
      </c>
      <c r="K8" s="6">
        <f>MRP_ENGINE!I28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MRP_ENGINE!B34</f>
        <v/>
      </c>
      <c r="E9" s="6">
        <f>MRP_ENGINE!C34</f>
        <v/>
      </c>
      <c r="F9" s="6">
        <f>MRP_ENGINE!D34</f>
        <v/>
      </c>
      <c r="G9" s="6">
        <f>MRP_ENGINE!E34</f>
        <v/>
      </c>
      <c r="H9" s="6">
        <f>MRP_ENGINE!F34</f>
        <v/>
      </c>
      <c r="I9" s="6">
        <f>MRP_ENGINE!G34</f>
        <v/>
      </c>
      <c r="J9" s="6">
        <f>MRP_ENGINE!H34</f>
        <v/>
      </c>
      <c r="K9" s="6">
        <f>MRP_ENGINE!I34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MRP_ENGINE!B29</f>
        <v/>
      </c>
      <c r="E10" s="6">
        <f>MRP_ENGINE!C29</f>
        <v/>
      </c>
      <c r="F10" s="6">
        <f>MRP_ENGINE!D29</f>
        <v/>
      </c>
      <c r="G10" s="6">
        <f>MRP_ENGINE!E29</f>
        <v/>
      </c>
      <c r="H10" s="6">
        <f>MRP_ENGINE!F29</f>
        <v/>
      </c>
      <c r="I10" s="6">
        <f>MRP_ENGINE!G29</f>
        <v/>
      </c>
      <c r="J10" s="6">
        <f>MRP_ENGINE!H29</f>
        <v/>
      </c>
      <c r="K10" s="6">
        <f>MRP_ENGINE!I29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MRP_ENGINE!B35</f>
        <v/>
      </c>
      <c r="E11" s="6">
        <f>MRP_ENGINE!C35</f>
        <v/>
      </c>
      <c r="F11" s="6">
        <f>MRP_ENGINE!D35</f>
        <v/>
      </c>
      <c r="G11" s="6">
        <f>MRP_ENGINE!E35</f>
        <v/>
      </c>
      <c r="H11" s="6">
        <f>MRP_ENGINE!F35</f>
        <v/>
      </c>
      <c r="I11" s="6">
        <f>MRP_ENGINE!G35</f>
        <v/>
      </c>
      <c r="J11" s="6">
        <f>MRP_ENGINE!H35</f>
        <v/>
      </c>
      <c r="K11" s="6">
        <f>MRP_ENGINE!I35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2025-12-29T20:25:15Z</dcterms:created>
  <dcterms:modified xsi:type="dcterms:W3CDTF">2025-12-29T20:25:15Z</dcterms:modified>
</cp:coreProperties>
</file>