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CONFIG" sheetId="1" state="visible" r:id="rId1"/>
    <sheet name="LOGISTICS_DATA" sheetId="2" state="visible" r:id="rId2"/>
    <sheet name="ROUTE_OPTIMIZER" sheetId="3" state="visible" r:id="rId3"/>
    <sheet name="INVENTORY_TETRIS" sheetId="4" state="visible" r:id="rId4"/>
    <sheet name="SHIPMENT_BUILDER" sheetId="5" state="visible" r:id="rId5"/>
    <sheet name="UPLOAD_READY_LOG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color rgb="00FFFFFF"/>
    </font>
    <font>
      <b val="1"/>
    </font>
    <font>
      <b val="1"/>
      <color rgb="00FFFFFF"/>
      <sz val="11"/>
    </font>
    <font>
      <b val="1"/>
      <color rgb="00C00000"/>
    </font>
    <font>
      <i val="1"/>
      <color rgb="009C0006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EEEEEE"/>
        <bgColor rgb="00EEEE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4" fillId="0" borderId="0" pivotButton="0" quotePrefix="0" xfId="0"/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4" borderId="0" pivotButton="0" quotePrefix="0" xfId="0"/>
    <xf numFmtId="0" fontId="0" fillId="1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wrapText="1"/>
    </xf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6" fillId="0" borderId="0" pivotButton="0" quotePrefix="0" xfId="0"/>
    <xf numFmtId="0" fontId="4" fillId="2" borderId="0" pivotButton="0" quotePrefix="0" xfId="0"/>
    <xf numFmtId="164" fontId="0" fillId="0" borderId="1" pivotButton="0" quotePrefix="0" xfId="0"/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4" fillId="4" borderId="1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164" fontId="0" fillId="11" borderId="1" pivotButton="0" quotePrefix="0" xfId="0"/>
    <xf numFmtId="0" fontId="0" fillId="3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165" fontId="0" fillId="5" borderId="1" pivotButton="0" quotePrefix="0" xfId="0"/>
    <xf numFmtId="0" fontId="9" fillId="0" borderId="0" pivotButton="0" quotePrefix="0" xfId="0"/>
    <xf numFmtId="0" fontId="0" fillId="11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FCC00"/>
          <bgColor rgb="00FFCC00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Warehouse Tetris (Inv vs Capacity)</a:t>
            </a:r>
          </a:p>
        </rich>
      </tx>
    </title>
    <plotArea>
      <barChart>
        <barDir val="col"/>
        <grouping val="clustered"/>
        <ser>
          <idx val="0"/>
          <order val="0"/>
          <tx>
            <v>Ending Inv</v>
          </tx>
          <spPr>
            <a:ln>
              <a:prstDash val="solid"/>
            </a:ln>
          </spPr>
          <cat>
            <numRef>
              <f>'INVENTORY_TETRIS'!$A$8:$A$15</f>
            </numRef>
          </cat>
          <val>
            <numRef>
              <f>'INVENTORY_TETRIS'!$F$8:$F$15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Capacity Limit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'INVENTORY_TETRIS'!$G$8:$G$15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West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'INVENTORY_TETRIS'!$A$22:$A$29</f>
            </numRef>
          </cat>
          <val>
            <numRef>
              <f>'INVENTORY_TETRIS'!$J$22:$J$29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'INVENTORY_TETRIS'!$A$22:$A$29</f>
            </numRef>
          </cat>
          <val>
            <numRef>
              <f>'INVENTORY_TETRIS'!$K$22:$K$29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North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'INVENTORY_TETRIS'!$A$36:$A$43</f>
            </numRef>
          </cat>
          <val>
            <numRef>
              <f>'INVENTORY_TETRIS'!$J$36:$J$43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'INVENTORY_TETRIS'!$A$36:$A$43</f>
            </numRef>
          </cat>
          <val>
            <numRef>
              <f>'INVENTORY_TETRIS'!$K$36:$K$43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'INVENTORY_TETRIS'!$A$50:$A$57</f>
            </numRef>
          </cat>
          <val>
            <numRef>
              <f>'INVENTORY_TETRIS'!$J$50:$J$57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'INVENTORY_TETRIS'!$A$50:$A$57</f>
            </numRef>
          </cat>
          <val>
            <numRef>
              <f>'INVENTORY_TETRIS'!$K$50:$K$57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South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'INVENTORY_TETRIS'!$A$64:$A$71</f>
            </numRef>
          </cat>
          <val>
            <numRef>
              <f>'INVENTORY_TETRIS'!$J$64:$J$71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'INVENTORY_TETRIS'!$A$64:$A$71</f>
            </numRef>
          </cat>
          <val>
            <numRef>
              <f>'INVENTORY_TETRIS'!$K$64:$K$71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31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59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</cols>
  <sheetData>
    <row r="1">
      <c r="A1" s="1" t="inlineStr">
        <is>
          <t>ROUTE CONFIGURATION - Transport Physics</t>
        </is>
      </c>
    </row>
    <row r="2">
      <c r="A2" s="2" t="inlineStr">
        <is>
          <t>Define transport modes and warehouse costs. Yellow cells are editable.</t>
        </is>
      </c>
    </row>
    <row r="4">
      <c r="A4" s="3" t="inlineStr">
        <is>
          <t>TABLE 1: TRANSPORT MODES</t>
        </is>
      </c>
    </row>
    <row r="5">
      <c r="A5" s="4" t="inlineStr">
        <is>
          <t>Mode</t>
        </is>
      </c>
      <c r="B5" s="4" t="inlineStr">
        <is>
          <t>Lead Time (Fortnights)</t>
        </is>
      </c>
      <c r="C5" s="4" t="inlineStr">
        <is>
          <t>Cost Per Unit ($)</t>
        </is>
      </c>
    </row>
    <row r="6">
      <c r="A6" s="5" t="inlineStr">
        <is>
          <t>Train</t>
        </is>
      </c>
      <c r="B6" s="6" t="n">
        <v>0</v>
      </c>
      <c r="C6" s="7" t="n">
        <v>0</v>
      </c>
    </row>
    <row r="7">
      <c r="A7" s="5" t="inlineStr">
        <is>
          <t>Truck</t>
        </is>
      </c>
      <c r="B7" s="6" t="n">
        <v>0</v>
      </c>
      <c r="C7" s="7" t="n">
        <v>0</v>
      </c>
    </row>
    <row r="8">
      <c r="A8" s="5" t="inlineStr">
        <is>
          <t>Plane</t>
        </is>
      </c>
      <c r="B8" s="6" t="n">
        <v>0</v>
      </c>
      <c r="C8" s="7" t="n">
        <v>0</v>
      </c>
    </row>
    <row r="11">
      <c r="A11" s="3" t="inlineStr">
        <is>
          <t>TABLE 2: WAREHOUSE CONFIGURATION</t>
        </is>
      </c>
    </row>
    <row r="12">
      <c r="A12" s="4" t="inlineStr">
        <is>
          <t>Zone</t>
        </is>
      </c>
      <c r="B12" s="4" t="inlineStr">
        <is>
          <t>Current Capacity</t>
        </is>
      </c>
      <c r="C12" s="4" t="inlineStr">
        <is>
          <t>Cost Per Module</t>
        </is>
      </c>
      <c r="D12" s="4" t="inlineStr">
        <is>
          <t>Capacity Per Module</t>
        </is>
      </c>
    </row>
    <row r="13">
      <c r="A13" s="8" t="inlineStr">
        <is>
          <t>Center</t>
        </is>
      </c>
      <c r="B13" s="9" t="n">
        <v>4800</v>
      </c>
      <c r="C13" s="7" t="n">
        <v>0</v>
      </c>
      <c r="D13" s="6" t="n">
        <v>0</v>
      </c>
    </row>
    <row r="14">
      <c r="A14" s="10" t="inlineStr">
        <is>
          <t>West</t>
        </is>
      </c>
      <c r="B14" s="9" t="n">
        <v>2500</v>
      </c>
      <c r="C14" s="7" t="n">
        <v>0</v>
      </c>
      <c r="D14" s="6" t="n">
        <v>0</v>
      </c>
    </row>
    <row r="15">
      <c r="A15" s="11" t="inlineStr">
        <is>
          <t>North</t>
        </is>
      </c>
      <c r="B15" s="9" t="n">
        <v>2000</v>
      </c>
      <c r="C15" s="7" t="n">
        <v>0</v>
      </c>
      <c r="D15" s="6" t="n">
        <v>0</v>
      </c>
    </row>
    <row r="16">
      <c r="A16" s="12" t="inlineStr">
        <is>
          <t>East</t>
        </is>
      </c>
      <c r="B16" s="9" t="n">
        <v>0</v>
      </c>
      <c r="C16" s="7" t="n">
        <v>0</v>
      </c>
      <c r="D16" s="6" t="n">
        <v>0</v>
      </c>
    </row>
    <row r="17">
      <c r="A17" s="13" t="inlineStr">
        <is>
          <t>South</t>
        </is>
      </c>
      <c r="B17" s="9" t="n">
        <v>0</v>
      </c>
      <c r="C17" s="7" t="n">
        <v>0</v>
      </c>
      <c r="D1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Cost Database (Generated from Case Parameters)</t>
        </is>
      </c>
    </row>
    <row r="2">
      <c r="A2" s="14" t="inlineStr">
        <is>
          <t>From</t>
        </is>
      </c>
      <c r="B2" s="14" t="inlineStr">
        <is>
          <t>To</t>
        </is>
      </c>
      <c r="C2" s="14" t="inlineStr">
        <is>
          <t>Mode</t>
        </is>
      </c>
      <c r="D2" s="14" t="inlineStr">
        <is>
          <t>Cost</t>
        </is>
      </c>
      <c r="E2" s="14" t="inlineStr">
        <is>
          <t>LeadTime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ROUTE OPTIMIZER &amp; MATRIX</t>
        </is>
      </c>
    </row>
    <row r="3">
      <c r="A3" s="3" t="inlineStr">
        <is>
          <t>Cheapest Transport Mode Matrix ($ Cost)</t>
        </is>
      </c>
    </row>
    <row r="4">
      <c r="B4" s="15" t="inlineStr">
        <is>
          <t>Center</t>
        </is>
      </c>
      <c r="C4" s="16" t="inlineStr">
        <is>
          <t>West</t>
        </is>
      </c>
      <c r="D4" s="17" t="inlineStr">
        <is>
          <t>North</t>
        </is>
      </c>
      <c r="E4" s="18" t="inlineStr">
        <is>
          <t>East</t>
        </is>
      </c>
      <c r="F4" s="19" t="inlineStr">
        <is>
          <t>South</t>
        </is>
      </c>
    </row>
    <row r="5">
      <c r="A5" s="20" t="inlineStr">
        <is>
          <t>Center</t>
        </is>
      </c>
      <c r="B5" s="21" t="inlineStr">
        <is>
          <t>-</t>
        </is>
      </c>
      <c r="C5" s="22" t="inlineStr">
        <is>
          <t>N/A
($999999)</t>
        </is>
      </c>
      <c r="D5" s="22" t="inlineStr">
        <is>
          <t>N/A
($999999)</t>
        </is>
      </c>
      <c r="E5" s="22" t="inlineStr">
        <is>
          <t>N/A
($999999)</t>
        </is>
      </c>
      <c r="F5" s="22" t="inlineStr">
        <is>
          <t>N/A
($999999)</t>
        </is>
      </c>
    </row>
    <row r="6">
      <c r="A6" s="23" t="inlineStr">
        <is>
          <t>West</t>
        </is>
      </c>
      <c r="B6" s="22" t="inlineStr">
        <is>
          <t>N/A
($999999)</t>
        </is>
      </c>
      <c r="C6" s="21" t="inlineStr">
        <is>
          <t>-</t>
        </is>
      </c>
      <c r="D6" s="22" t="inlineStr">
        <is>
          <t>N/A
($999999)</t>
        </is>
      </c>
      <c r="E6" s="22" t="inlineStr">
        <is>
          <t>N/A
($999999)</t>
        </is>
      </c>
      <c r="F6" s="22" t="inlineStr">
        <is>
          <t>N/A
($999999)</t>
        </is>
      </c>
    </row>
    <row r="7">
      <c r="A7" s="24" t="inlineStr">
        <is>
          <t>North</t>
        </is>
      </c>
      <c r="B7" s="22" t="inlineStr">
        <is>
          <t>N/A
($999999)</t>
        </is>
      </c>
      <c r="C7" s="22" t="inlineStr">
        <is>
          <t>N/A
($999999)</t>
        </is>
      </c>
      <c r="D7" s="21" t="inlineStr">
        <is>
          <t>-</t>
        </is>
      </c>
      <c r="E7" s="22" t="inlineStr">
        <is>
          <t>N/A
($999999)</t>
        </is>
      </c>
      <c r="F7" s="22" t="inlineStr">
        <is>
          <t>N/A
($999999)</t>
        </is>
      </c>
    </row>
    <row r="8">
      <c r="A8" s="25" t="inlineStr">
        <is>
          <t>East</t>
        </is>
      </c>
      <c r="B8" s="22" t="inlineStr">
        <is>
          <t>N/A
($999999)</t>
        </is>
      </c>
      <c r="C8" s="22" t="inlineStr">
        <is>
          <t>N/A
($999999)</t>
        </is>
      </c>
      <c r="D8" s="22" t="inlineStr">
        <is>
          <t>N/A
($999999)</t>
        </is>
      </c>
      <c r="E8" s="21" t="inlineStr">
        <is>
          <t>-</t>
        </is>
      </c>
      <c r="F8" s="22" t="inlineStr">
        <is>
          <t>N/A
($999999)</t>
        </is>
      </c>
    </row>
    <row r="9">
      <c r="A9" s="26" t="inlineStr">
        <is>
          <t>South</t>
        </is>
      </c>
      <c r="B9" s="22" t="inlineStr">
        <is>
          <t>N/A
($999999)</t>
        </is>
      </c>
      <c r="C9" s="22" t="inlineStr">
        <is>
          <t>N/A
($999999)</t>
        </is>
      </c>
      <c r="D9" s="22" t="inlineStr">
        <is>
          <t>N/A
($999999)</t>
        </is>
      </c>
      <c r="E9" s="22" t="inlineStr">
        <is>
          <t>N/A
($999999)</t>
        </is>
      </c>
      <c r="F9" s="21" t="inlineStr">
        <is>
          <t>-</t>
        </is>
      </c>
    </row>
    <row r="12">
      <c r="A12" s="3" t="inlineStr">
        <is>
          <t>ROUTE CALCULATOR</t>
        </is>
      </c>
    </row>
    <row r="13">
      <c r="A13" s="27" t="inlineStr">
        <is>
          <t>From:</t>
        </is>
      </c>
      <c r="B13" s="6" t="inlineStr">
        <is>
          <t>Center</t>
        </is>
      </c>
    </row>
    <row r="14">
      <c r="A14" s="27" t="inlineStr">
        <is>
          <t>To:</t>
        </is>
      </c>
      <c r="B14" s="6" t="inlineStr">
        <is>
          <t>North</t>
        </is>
      </c>
    </row>
    <row r="16">
      <c r="A16" s="28" t="inlineStr">
        <is>
          <t>Mode</t>
        </is>
      </c>
      <c r="B16" s="28" t="inlineStr">
        <is>
          <t>Cost</t>
        </is>
      </c>
      <c r="C16" s="28" t="inlineStr">
        <is>
          <t>Lead Time</t>
        </is>
      </c>
      <c r="D16" s="28" t="inlineStr">
        <is>
          <t>Savings vs Air</t>
        </is>
      </c>
    </row>
    <row r="17">
      <c r="A17" s="5" t="inlineStr">
        <is>
          <t>Train</t>
        </is>
      </c>
      <c r="B17" s="29">
        <f>SUMIFS(LOGISTICS_DATA!D:D, LOGISTICS_DATA!A:A, $B$13, LOGISTICS_DATA!B:B, $B$14, LOGISTICS_DATA!C:C, "Train")</f>
        <v/>
      </c>
      <c r="C17" s="5">
        <f>SUMIFS(LOGISTICS_DATA!E:E, LOGISTICS_DATA!A:A, $B$13, LOGISTICS_DATA!B:B, $B$14, LOGISTICS_DATA!C:C, "Train")</f>
        <v/>
      </c>
    </row>
    <row r="18">
      <c r="A18" s="5" t="inlineStr">
        <is>
          <t>Truck</t>
        </is>
      </c>
      <c r="B18" s="29">
        <f>SUMIFS(LOGISTICS_DATA!D:D, LOGISTICS_DATA!A:A, $B$13, LOGISTICS_DATA!B:B, $B$14, LOGISTICS_DATA!C:C, "Truck")</f>
        <v/>
      </c>
      <c r="C18" s="5">
        <f>SUMIFS(LOGISTICS_DATA!E:E, LOGISTICS_DATA!A:A, $B$13, LOGISTICS_DATA!B:B, $B$14, LOGISTICS_DATA!C:C, "Truck")</f>
        <v/>
      </c>
    </row>
    <row r="19">
      <c r="A19" s="5" t="inlineStr">
        <is>
          <t>Airplane</t>
        </is>
      </c>
      <c r="B19" s="29">
        <f>SUMIFS(LOGISTICS_DATA!D:D, LOGISTICS_DATA!A:A, $B$13, LOGISTICS_DATA!B:B, $B$14, LOGISTICS_DATA!C:C, "Airplane")</f>
        <v/>
      </c>
      <c r="C19" s="5">
        <f>SUMIFS(LOGISTICS_DATA!E:E, LOGISTICS_DATA!A:A, $B$13, LOGISTICS_DATA!B:B, $B$14, LOGISTICS_DATA!C:C, "Airplane")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INVENTORY TETRIS - Zone-by-Zone Balance</t>
        </is>
      </c>
    </row>
    <row r="2">
      <c r="A2" s="2" t="inlineStr">
        <is>
          <t>Balance inventory. Watch: 🔴STOCKOUT (red), 🟡WARNING &gt;90% (yellow), 🟣OVERFLOW (purple).</t>
        </is>
      </c>
    </row>
    <row r="4">
      <c r="A4" s="30" t="inlineStr">
        <is>
          <t>═══ CENTER ZONE (Capacity: 4,800) ═══</t>
        </is>
      </c>
      <c r="I4" s="31" t="inlineStr">
        <is>
          <t>Last Period Rent: $38,400</t>
        </is>
      </c>
    </row>
    <row r="5">
      <c r="A5" s="5" t="inlineStr">
        <is>
          <t>Opening Inventory</t>
        </is>
      </c>
      <c r="B5" s="9" t="n">
        <v>3410</v>
      </c>
      <c r="D5" s="5" t="inlineStr">
        <is>
          <t>Capacity</t>
        </is>
      </c>
      <c r="E5" s="9" t="n">
        <v>4800</v>
      </c>
      <c r="G5" s="5" t="inlineStr">
        <is>
          <t>Rent Modules?</t>
        </is>
      </c>
      <c r="H5" s="6" t="n">
        <v>0</v>
      </c>
    </row>
    <row r="7">
      <c r="A7" s="32" t="inlineStr">
        <is>
          <t>Fortnight</t>
        </is>
      </c>
      <c r="B7" s="32" t="inlineStr">
        <is>
          <t>Production</t>
        </is>
      </c>
      <c r="C7" s="32" t="inlineStr">
        <is>
          <t>Sales</t>
        </is>
      </c>
      <c r="D7" s="32" t="inlineStr">
        <is>
          <t>Outgoing</t>
        </is>
      </c>
      <c r="E7" s="32" t="inlineStr">
        <is>
          <t>Incoming</t>
        </is>
      </c>
      <c r="F7" s="32" t="inlineStr">
        <is>
          <t>Projected Inv</t>
        </is>
      </c>
      <c r="G7" s="32" t="inlineStr">
        <is>
          <t>Capacity</t>
        </is>
      </c>
      <c r="H7" s="32" t="inlineStr">
        <is>
          <t>Flag</t>
        </is>
      </c>
    </row>
    <row r="8">
      <c r="A8" s="5" t="inlineStr">
        <is>
          <t>FN1</t>
        </is>
      </c>
      <c r="B8" s="6" t="n">
        <v>0</v>
      </c>
      <c r="C8" s="6" t="n">
        <v>0</v>
      </c>
      <c r="D8" s="6" t="n">
        <v>0</v>
      </c>
      <c r="E8" s="6" t="n">
        <v>0</v>
      </c>
      <c r="F8" s="5">
        <f>$B$5+B8+E8-D8-C8</f>
        <v/>
      </c>
      <c r="G8" s="9">
        <f>$E$5 + ($H$5 * ROUTE_CONFIG!$D$13)</f>
        <v/>
      </c>
      <c r="H8" s="5">
        <f>IF(F8&lt;0,"🔴 STOCKOUT!",IF(F8&gt;G8,"🟣 OVERFLOW!",IF(F8&gt;G8*0.9,"🟡 WARNING: &gt;90%","✓ OK")))</f>
        <v/>
      </c>
    </row>
    <row r="9">
      <c r="A9" s="5" t="inlineStr">
        <is>
          <t>FN2</t>
        </is>
      </c>
      <c r="B9" s="6" t="n">
        <v>0</v>
      </c>
      <c r="C9" s="6" t="n">
        <v>0</v>
      </c>
      <c r="D9" s="6" t="n">
        <v>0</v>
      </c>
      <c r="E9" s="6" t="n">
        <v>0</v>
      </c>
      <c r="F9" s="5">
        <f>F8+B9+E9-D9-C9</f>
        <v/>
      </c>
      <c r="G9" s="9">
        <f>$E$5 + ($H$5 * ROUTE_CONFIG!$D$13)</f>
        <v/>
      </c>
      <c r="H9" s="5">
        <f>IF(F9&lt;0,"🔴 STOCKOUT!",IF(F9&gt;G9,"🟣 OVERFLOW!",IF(F9&gt;G9*0.9,"🟡 WARNING: &gt;90%","✓ OK")))</f>
        <v/>
      </c>
    </row>
    <row r="10">
      <c r="A10" s="5" t="inlineStr">
        <is>
          <t>FN3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5">
        <f>F9+B10+E10-D10-C10</f>
        <v/>
      </c>
      <c r="G10" s="9">
        <f>$E$5 + ($H$5 * ROUTE_CONFIG!$D$13)</f>
        <v/>
      </c>
      <c r="H10" s="5">
        <f>IF(F10&lt;0,"🔴 STOCKOUT!",IF(F10&gt;G10,"🟣 OVERFLOW!",IF(F10&gt;G10*0.9,"🟡 WARNING: &gt;90%","✓ OK")))</f>
        <v/>
      </c>
    </row>
    <row r="11">
      <c r="A11" s="5" t="inlineStr">
        <is>
          <t>FN4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5">
        <f>F10+B11+E11-D11-C11</f>
        <v/>
      </c>
      <c r="G11" s="9">
        <f>$E$5 + ($H$5 * ROUTE_CONFIG!$D$13)</f>
        <v/>
      </c>
      <c r="H11" s="5">
        <f>IF(F11&lt;0,"🔴 STOCKOUT!",IF(F11&gt;G11,"🟣 OVERFLOW!",IF(F11&gt;G11*0.9,"🟡 WARNING: &gt;90%","✓ OK")))</f>
        <v/>
      </c>
    </row>
    <row r="12">
      <c r="A12" s="5" t="inlineStr">
        <is>
          <t>FN5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5">
        <f>F11+B12+E12-D12-C12</f>
        <v/>
      </c>
      <c r="G12" s="9">
        <f>$E$5 + ($H$5 * ROUTE_CONFIG!$D$13)</f>
        <v/>
      </c>
      <c r="H12" s="5">
        <f>IF(F12&lt;0,"🔴 STOCKOUT!",IF(F12&gt;G12,"🟣 OVERFLOW!",IF(F12&gt;G12*0.9,"🟡 WARNING: &gt;90%","✓ OK")))</f>
        <v/>
      </c>
    </row>
    <row r="13">
      <c r="A13" s="5" t="inlineStr">
        <is>
          <t>FN6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5">
        <f>F12+B13+E13-D13-C13</f>
        <v/>
      </c>
      <c r="G13" s="9">
        <f>$E$5 + ($H$5 * ROUTE_CONFIG!$D$13)</f>
        <v/>
      </c>
      <c r="H13" s="5">
        <f>IF(F13&lt;0,"🔴 STOCKOUT!",IF(F13&gt;G13,"🟣 OVERFLOW!",IF(F13&gt;G13*0.9,"🟡 WARNING: &gt;90%","✓ OK")))</f>
        <v/>
      </c>
    </row>
    <row r="14">
      <c r="A14" s="5" t="inlineStr">
        <is>
          <t>FN7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5">
        <f>F13+B14+E14-D14-C14</f>
        <v/>
      </c>
      <c r="G14" s="9">
        <f>$E$5 + ($H$5 * ROUTE_CONFIG!$D$13)</f>
        <v/>
      </c>
      <c r="H14" s="5">
        <f>IF(F14&lt;0,"🔴 STOCKOUT!",IF(F14&gt;G14,"🟣 OVERFLOW!",IF(F14&gt;G14*0.9,"🟡 WARNING: &gt;90%","✓ OK")))</f>
        <v/>
      </c>
    </row>
    <row r="15">
      <c r="A15" s="5" t="inlineStr">
        <is>
          <t>FN8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5">
        <f>F14+B15+E15-D15-C15</f>
        <v/>
      </c>
      <c r="G15" s="9">
        <f>$E$5 + ($H$5 * ROUTE_CONFIG!$D$13)</f>
        <v/>
      </c>
      <c r="H15" s="5">
        <f>IF(F15&lt;0,"🔴 STOCKOUT!",IF(F15&gt;G15,"🟣 OVERFLOW!",IF(F15&gt;G15*0.9,"🟡 WARNING: &gt;90%","✓ OK")))</f>
        <v/>
      </c>
    </row>
    <row r="18">
      <c r="A18" s="33" t="inlineStr">
        <is>
          <t>═══ WEST ZONE (Capacity: 2,500) ═══</t>
        </is>
      </c>
      <c r="I18" s="31" t="inlineStr">
        <is>
          <t>Last Period Rent: $20,000</t>
        </is>
      </c>
    </row>
    <row r="19">
      <c r="A19" s="5" t="inlineStr">
        <is>
          <t>Opening Inventory</t>
        </is>
      </c>
      <c r="B19" s="9" t="n">
        <v>1886</v>
      </c>
      <c r="D19" s="5" t="inlineStr">
        <is>
          <t>Capacity</t>
        </is>
      </c>
      <c r="E19" s="9" t="n">
        <v>2500</v>
      </c>
      <c r="G19" s="5" t="inlineStr">
        <is>
          <t>Rent Modules?</t>
        </is>
      </c>
      <c r="H19" s="6" t="n">
        <v>0</v>
      </c>
    </row>
    <row r="21">
      <c r="A21" s="34" t="inlineStr">
        <is>
          <t>Fortnight</t>
        </is>
      </c>
      <c r="B21" s="34" t="inlineStr">
        <is>
          <t>Production</t>
        </is>
      </c>
      <c r="C21" s="34" t="inlineStr">
        <is>
          <t>Sales</t>
        </is>
      </c>
      <c r="D21" s="34" t="inlineStr">
        <is>
          <t>Outgoing</t>
        </is>
      </c>
      <c r="E21" s="34" t="inlineStr">
        <is>
          <t>Incoming</t>
        </is>
      </c>
      <c r="F21" s="34" t="inlineStr">
        <is>
          <t>Projected Inv</t>
        </is>
      </c>
      <c r="G21" s="34" t="inlineStr">
        <is>
          <t>Capacity</t>
        </is>
      </c>
      <c r="H21" s="34" t="inlineStr">
        <is>
          <t>Flag</t>
        </is>
      </c>
      <c r="J21" t="inlineStr">
        <is>
          <t>Total Supply</t>
        </is>
      </c>
      <c r="K21" t="inlineStr">
        <is>
          <t>Total Demand</t>
        </is>
      </c>
    </row>
    <row r="22">
      <c r="A22" s="5" t="inlineStr">
        <is>
          <t>FN1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5">
        <f>$B$19+B22+E22-D22-C22</f>
        <v/>
      </c>
      <c r="G22" s="9">
        <f>$E$19 + ($H$19 * ROUTE_CONFIG!$D$14)</f>
        <v/>
      </c>
      <c r="H22" s="5">
        <f>IF(F22&lt;0,"🔴 STOCKOUT!",IF(F22&gt;G22,"🟣 OVERFLOW!",IF(F22&gt;G22*0.9,"🟡 WARNING: &gt;90%","✓ OK")))</f>
        <v/>
      </c>
      <c r="J22">
        <f>B22+E22</f>
        <v/>
      </c>
      <c r="K22">
        <f>C22+D22</f>
        <v/>
      </c>
    </row>
    <row r="23">
      <c r="A23" s="5" t="inlineStr">
        <is>
          <t>FN2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5">
        <f>F22+B23+E23-D23-C23</f>
        <v/>
      </c>
      <c r="G23" s="9">
        <f>$E$19 + ($H$19 * ROUTE_CONFIG!$D$14)</f>
        <v/>
      </c>
      <c r="H23" s="5">
        <f>IF(F23&lt;0,"🔴 STOCKOUT!",IF(F23&gt;G23,"🟣 OVERFLOW!",IF(F23&gt;G23*0.9,"🟡 WARNING: &gt;90%","✓ OK")))</f>
        <v/>
      </c>
      <c r="J23">
        <f>B23+E23</f>
        <v/>
      </c>
      <c r="K23">
        <f>C23+D23</f>
        <v/>
      </c>
    </row>
    <row r="24">
      <c r="A24" s="5" t="inlineStr">
        <is>
          <t>FN3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5">
        <f>F23+B24+E24-D24-C24</f>
        <v/>
      </c>
      <c r="G24" s="9">
        <f>$E$19 + ($H$19 * ROUTE_CONFIG!$D$14)</f>
        <v/>
      </c>
      <c r="H24" s="5">
        <f>IF(F24&lt;0,"🔴 STOCKOUT!",IF(F24&gt;G24,"🟣 OVERFLOW!",IF(F24&gt;G24*0.9,"🟡 WARNING: &gt;90%","✓ OK")))</f>
        <v/>
      </c>
      <c r="J24">
        <f>B24+E24</f>
        <v/>
      </c>
      <c r="K24">
        <f>C24+D24</f>
        <v/>
      </c>
    </row>
    <row r="25">
      <c r="A25" s="5" t="inlineStr">
        <is>
          <t>FN4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5">
        <f>F24+B25+E25-D25-C25</f>
        <v/>
      </c>
      <c r="G25" s="9">
        <f>$E$19 + ($H$19 * ROUTE_CONFIG!$D$14)</f>
        <v/>
      </c>
      <c r="H25" s="5">
        <f>IF(F25&lt;0,"🔴 STOCKOUT!",IF(F25&gt;G25,"🟣 OVERFLOW!",IF(F25&gt;G25*0.9,"🟡 WARNING: &gt;90%","✓ OK")))</f>
        <v/>
      </c>
      <c r="J25">
        <f>B25+E25</f>
        <v/>
      </c>
      <c r="K25">
        <f>C25+D25</f>
        <v/>
      </c>
    </row>
    <row r="26">
      <c r="A26" s="5" t="inlineStr">
        <is>
          <t>FN5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5">
        <f>F25+B26+E26-D26-C26</f>
        <v/>
      </c>
      <c r="G26" s="9">
        <f>$E$19 + ($H$19 * ROUTE_CONFIG!$D$14)</f>
        <v/>
      </c>
      <c r="H26" s="5">
        <f>IF(F26&lt;0,"🔴 STOCKOUT!",IF(F26&gt;G26,"🟣 OVERFLOW!",IF(F26&gt;G26*0.9,"🟡 WARNING: &gt;90%","✓ OK")))</f>
        <v/>
      </c>
      <c r="J26">
        <f>B26+E26</f>
        <v/>
      </c>
      <c r="K26">
        <f>C26+D26</f>
        <v/>
      </c>
    </row>
    <row r="27">
      <c r="A27" s="5" t="inlineStr">
        <is>
          <t>FN6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5">
        <f>F26+B27+E27-D27-C27</f>
        <v/>
      </c>
      <c r="G27" s="9">
        <f>$E$19 + ($H$19 * ROUTE_CONFIG!$D$14)</f>
        <v/>
      </c>
      <c r="H27" s="5">
        <f>IF(F27&lt;0,"🔴 STOCKOUT!",IF(F27&gt;G27,"🟣 OVERFLOW!",IF(F27&gt;G27*0.9,"🟡 WARNING: &gt;90%","✓ OK")))</f>
        <v/>
      </c>
      <c r="J27">
        <f>B27+E27</f>
        <v/>
      </c>
      <c r="K27">
        <f>C27+D27</f>
        <v/>
      </c>
    </row>
    <row r="28">
      <c r="A28" s="5" t="inlineStr">
        <is>
          <t>FN7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5">
        <f>F27+B28+E28-D28-C28</f>
        <v/>
      </c>
      <c r="G28" s="9">
        <f>$E$19 + ($H$19 * ROUTE_CONFIG!$D$14)</f>
        <v/>
      </c>
      <c r="H28" s="5">
        <f>IF(F28&lt;0,"🔴 STOCKOUT!",IF(F28&gt;G28,"🟣 OVERFLOW!",IF(F28&gt;G28*0.9,"🟡 WARNING: &gt;90%","✓ OK")))</f>
        <v/>
      </c>
      <c r="J28">
        <f>B28+E28</f>
        <v/>
      </c>
      <c r="K28">
        <f>C28+D28</f>
        <v/>
      </c>
    </row>
    <row r="29">
      <c r="A29" s="5" t="inlineStr">
        <is>
          <t>FN8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5">
        <f>F28+B29+E29-D29-C29</f>
        <v/>
      </c>
      <c r="G29" s="9">
        <f>$E$19 + ($H$19 * ROUTE_CONFIG!$D$14)</f>
        <v/>
      </c>
      <c r="H29" s="5">
        <f>IF(F29&lt;0,"🔴 STOCKOUT!",IF(F29&gt;G29,"🟣 OVERFLOW!",IF(F29&gt;G29*0.9,"🟡 WARNING: &gt;90%","✓ OK")))</f>
        <v/>
      </c>
      <c r="J29">
        <f>B29+E29</f>
        <v/>
      </c>
      <c r="K29">
        <f>C29+D29</f>
        <v/>
      </c>
    </row>
    <row r="32">
      <c r="A32" s="35" t="inlineStr">
        <is>
          <t>═══ NORTH ZONE (Capacity: 2,000) ═══</t>
        </is>
      </c>
      <c r="I32" s="31" t="inlineStr">
        <is>
          <t>Last Period Rent: $16,000</t>
        </is>
      </c>
    </row>
    <row r="33">
      <c r="A33" s="5" t="inlineStr">
        <is>
          <t>Opening Inventory</t>
        </is>
      </c>
      <c r="B33" s="9" t="n">
        <v>1720</v>
      </c>
      <c r="D33" s="5" t="inlineStr">
        <is>
          <t>Capacity</t>
        </is>
      </c>
      <c r="E33" s="9" t="n">
        <v>2000</v>
      </c>
      <c r="G33" s="5" t="inlineStr">
        <is>
          <t>Rent Modules?</t>
        </is>
      </c>
      <c r="H33" s="6" t="n">
        <v>0</v>
      </c>
    </row>
    <row r="35">
      <c r="A35" s="36" t="inlineStr">
        <is>
          <t>Fortnight</t>
        </is>
      </c>
      <c r="B35" s="36" t="inlineStr">
        <is>
          <t>Production</t>
        </is>
      </c>
      <c r="C35" s="36" t="inlineStr">
        <is>
          <t>Sales</t>
        </is>
      </c>
      <c r="D35" s="36" t="inlineStr">
        <is>
          <t>Outgoing</t>
        </is>
      </c>
      <c r="E35" s="36" t="inlineStr">
        <is>
          <t>Incoming</t>
        </is>
      </c>
      <c r="F35" s="36" t="inlineStr">
        <is>
          <t>Projected Inv</t>
        </is>
      </c>
      <c r="G35" s="36" t="inlineStr">
        <is>
          <t>Capacity</t>
        </is>
      </c>
      <c r="H35" s="36" t="inlineStr">
        <is>
          <t>Flag</t>
        </is>
      </c>
      <c r="J35" t="inlineStr">
        <is>
          <t>Total Supply</t>
        </is>
      </c>
      <c r="K35" t="inlineStr">
        <is>
          <t>Total Demand</t>
        </is>
      </c>
    </row>
    <row r="36">
      <c r="A36" s="5" t="inlineStr">
        <is>
          <t>FN1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5">
        <f>$B$33+B36+E36-D36-C36</f>
        <v/>
      </c>
      <c r="G36" s="9">
        <f>$E$33 + ($H$33 * ROUTE_CONFIG!$D$15)</f>
        <v/>
      </c>
      <c r="H36" s="5">
        <f>IF(F36&lt;0,"🔴 STOCKOUT!",IF(F36&gt;G36,"🟣 OVERFLOW!",IF(F36&gt;G36*0.9,"🟡 WARNING: &gt;90%","✓ OK")))</f>
        <v/>
      </c>
      <c r="J36">
        <f>B36+E36</f>
        <v/>
      </c>
      <c r="K36">
        <f>C36+D36</f>
        <v/>
      </c>
    </row>
    <row r="37">
      <c r="A37" s="5" t="inlineStr">
        <is>
          <t>FN2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5">
        <f>F36+B37+E37-D37-C37</f>
        <v/>
      </c>
      <c r="G37" s="9">
        <f>$E$33 + ($H$33 * ROUTE_CONFIG!$D$15)</f>
        <v/>
      </c>
      <c r="H37" s="5">
        <f>IF(F37&lt;0,"🔴 STOCKOUT!",IF(F37&gt;G37,"🟣 OVERFLOW!",IF(F37&gt;G37*0.9,"🟡 WARNING: &gt;90%","✓ OK")))</f>
        <v/>
      </c>
      <c r="J37">
        <f>B37+E37</f>
        <v/>
      </c>
      <c r="K37">
        <f>C37+D37</f>
        <v/>
      </c>
    </row>
    <row r="38">
      <c r="A38" s="5" t="inlineStr">
        <is>
          <t>FN3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5">
        <f>F37+B38+E38-D38-C38</f>
        <v/>
      </c>
      <c r="G38" s="9">
        <f>$E$33 + ($H$33 * ROUTE_CONFIG!$D$15)</f>
        <v/>
      </c>
      <c r="H38" s="5">
        <f>IF(F38&lt;0,"🔴 STOCKOUT!",IF(F38&gt;G38,"🟣 OVERFLOW!",IF(F38&gt;G38*0.9,"🟡 WARNING: &gt;90%","✓ OK")))</f>
        <v/>
      </c>
      <c r="J38">
        <f>B38+E38</f>
        <v/>
      </c>
      <c r="K38">
        <f>C38+D38</f>
        <v/>
      </c>
    </row>
    <row r="39">
      <c r="A39" s="5" t="inlineStr">
        <is>
          <t>FN4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5">
        <f>F38+B39+E39-D39-C39</f>
        <v/>
      </c>
      <c r="G39" s="9">
        <f>$E$33 + ($H$33 * ROUTE_CONFIG!$D$15)</f>
        <v/>
      </c>
      <c r="H39" s="5">
        <f>IF(F39&lt;0,"🔴 STOCKOUT!",IF(F39&gt;G39,"🟣 OVERFLOW!",IF(F39&gt;G39*0.9,"🟡 WARNING: &gt;90%","✓ OK")))</f>
        <v/>
      </c>
      <c r="J39">
        <f>B39+E39</f>
        <v/>
      </c>
      <c r="K39">
        <f>C39+D39</f>
        <v/>
      </c>
    </row>
    <row r="40">
      <c r="A40" s="5" t="inlineStr">
        <is>
          <t>FN5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5">
        <f>F39+B40+E40-D40-C40</f>
        <v/>
      </c>
      <c r="G40" s="9">
        <f>$E$33 + ($H$33 * ROUTE_CONFIG!$D$15)</f>
        <v/>
      </c>
      <c r="H40" s="5">
        <f>IF(F40&lt;0,"🔴 STOCKOUT!",IF(F40&gt;G40,"🟣 OVERFLOW!",IF(F40&gt;G40*0.9,"🟡 WARNING: &gt;90%","✓ OK")))</f>
        <v/>
      </c>
      <c r="J40">
        <f>B40+E40</f>
        <v/>
      </c>
      <c r="K40">
        <f>C40+D40</f>
        <v/>
      </c>
    </row>
    <row r="41">
      <c r="A41" s="5" t="inlineStr">
        <is>
          <t>FN6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5">
        <f>F40+B41+E41-D41-C41</f>
        <v/>
      </c>
      <c r="G41" s="9">
        <f>$E$33 + ($H$33 * ROUTE_CONFIG!$D$15)</f>
        <v/>
      </c>
      <c r="H41" s="5">
        <f>IF(F41&lt;0,"🔴 STOCKOUT!",IF(F41&gt;G41,"🟣 OVERFLOW!",IF(F41&gt;G41*0.9,"🟡 WARNING: &gt;90%","✓ OK")))</f>
        <v/>
      </c>
      <c r="J41">
        <f>B41+E41</f>
        <v/>
      </c>
      <c r="K41">
        <f>C41+D41</f>
        <v/>
      </c>
    </row>
    <row r="42">
      <c r="A42" s="5" t="inlineStr">
        <is>
          <t>FN7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5">
        <f>F41+B42+E42-D42-C42</f>
        <v/>
      </c>
      <c r="G42" s="9">
        <f>$E$33 + ($H$33 * ROUTE_CONFIG!$D$15)</f>
        <v/>
      </c>
      <c r="H42" s="5">
        <f>IF(F42&lt;0,"🔴 STOCKOUT!",IF(F42&gt;G42,"🟣 OVERFLOW!",IF(F42&gt;G42*0.9,"🟡 WARNING: &gt;90%","✓ OK")))</f>
        <v/>
      </c>
      <c r="J42">
        <f>B42+E42</f>
        <v/>
      </c>
      <c r="K42">
        <f>C42+D42</f>
        <v/>
      </c>
    </row>
    <row r="43">
      <c r="A43" s="5" t="inlineStr">
        <is>
          <t>FN8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5">
        <f>F42+B43+E43-D43-C43</f>
        <v/>
      </c>
      <c r="G43" s="9">
        <f>$E$33 + ($H$33 * ROUTE_CONFIG!$D$15)</f>
        <v/>
      </c>
      <c r="H43" s="5">
        <f>IF(F43&lt;0,"🔴 STOCKOUT!",IF(F43&gt;G43,"🟣 OVERFLOW!",IF(F43&gt;G43*0.9,"🟡 WARNING: &gt;90%","✓ OK")))</f>
        <v/>
      </c>
      <c r="J43">
        <f>B43+E43</f>
        <v/>
      </c>
      <c r="K43">
        <f>C43+D43</f>
        <v/>
      </c>
    </row>
    <row r="46">
      <c r="A46" s="37" t="inlineStr">
        <is>
          <t>═══ EAST ZONE (Capacity: 0) ═══</t>
        </is>
      </c>
    </row>
    <row r="47">
      <c r="A47" s="5" t="inlineStr">
        <is>
          <t>Opening Inventory</t>
        </is>
      </c>
      <c r="B47" s="9" t="n">
        <v>0</v>
      </c>
      <c r="D47" s="5" t="inlineStr">
        <is>
          <t>Capacity</t>
        </is>
      </c>
      <c r="E47" s="9" t="n">
        <v>0</v>
      </c>
      <c r="G47" s="5" t="inlineStr">
        <is>
          <t>Rent Modules?</t>
        </is>
      </c>
      <c r="H47" s="6" t="n">
        <v>0</v>
      </c>
    </row>
    <row r="49">
      <c r="A49" s="38" t="inlineStr">
        <is>
          <t>Fortnight</t>
        </is>
      </c>
      <c r="B49" s="38" t="inlineStr">
        <is>
          <t>Production</t>
        </is>
      </c>
      <c r="C49" s="38" t="inlineStr">
        <is>
          <t>Sales</t>
        </is>
      </c>
      <c r="D49" s="38" t="inlineStr">
        <is>
          <t>Outgoing</t>
        </is>
      </c>
      <c r="E49" s="38" t="inlineStr">
        <is>
          <t>Incoming</t>
        </is>
      </c>
      <c r="F49" s="38" t="inlineStr">
        <is>
          <t>Projected Inv</t>
        </is>
      </c>
      <c r="G49" s="38" t="inlineStr">
        <is>
          <t>Capacity</t>
        </is>
      </c>
      <c r="H49" s="38" t="inlineStr">
        <is>
          <t>Flag</t>
        </is>
      </c>
      <c r="J49" t="inlineStr">
        <is>
          <t>Total Supply</t>
        </is>
      </c>
      <c r="K49" t="inlineStr">
        <is>
          <t>Total Demand</t>
        </is>
      </c>
    </row>
    <row r="50">
      <c r="A50" s="5" t="inlineStr">
        <is>
          <t>FN1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5">
        <f>$B$47+B50+E50-D50-C50</f>
        <v/>
      </c>
      <c r="G50" s="9">
        <f>$E$47 + ($H$47 * ROUTE_CONFIG!$D$16)</f>
        <v/>
      </c>
      <c r="H50" s="5">
        <f>IF(F50&lt;0,"🔴 STOCKOUT!",IF(F50&gt;G50,"🟣 OVERFLOW!",IF(F50&gt;G50*0.9,"🟡 WARNING: &gt;90%","✓ OK")))</f>
        <v/>
      </c>
      <c r="J50">
        <f>B50+E50</f>
        <v/>
      </c>
      <c r="K50">
        <f>C50+D50</f>
        <v/>
      </c>
    </row>
    <row r="51">
      <c r="A51" s="5" t="inlineStr">
        <is>
          <t>FN2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5">
        <f>F50+B51+E51-D51-C51</f>
        <v/>
      </c>
      <c r="G51" s="9">
        <f>$E$47 + ($H$47 * ROUTE_CONFIG!$D$16)</f>
        <v/>
      </c>
      <c r="H51" s="5">
        <f>IF(F51&lt;0,"🔴 STOCKOUT!",IF(F51&gt;G51,"🟣 OVERFLOW!",IF(F51&gt;G51*0.9,"🟡 WARNING: &gt;90%","✓ OK")))</f>
        <v/>
      </c>
      <c r="J51">
        <f>B51+E51</f>
        <v/>
      </c>
      <c r="K51">
        <f>C51+D51</f>
        <v/>
      </c>
    </row>
    <row r="52">
      <c r="A52" s="5" t="inlineStr">
        <is>
          <t>FN3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5">
        <f>F51+B52+E52-D52-C52</f>
        <v/>
      </c>
      <c r="G52" s="9">
        <f>$E$47 + ($H$47 * ROUTE_CONFIG!$D$16)</f>
        <v/>
      </c>
      <c r="H52" s="5">
        <f>IF(F52&lt;0,"🔴 STOCKOUT!",IF(F52&gt;G52,"🟣 OVERFLOW!",IF(F52&gt;G52*0.9,"🟡 WARNING: &gt;90%","✓ OK")))</f>
        <v/>
      </c>
      <c r="J52">
        <f>B52+E52</f>
        <v/>
      </c>
      <c r="K52">
        <f>C52+D52</f>
        <v/>
      </c>
    </row>
    <row r="53">
      <c r="A53" s="5" t="inlineStr">
        <is>
          <t>FN4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5">
        <f>F52+B53+E53-D53-C53</f>
        <v/>
      </c>
      <c r="G53" s="9">
        <f>$E$47 + ($H$47 * ROUTE_CONFIG!$D$16)</f>
        <v/>
      </c>
      <c r="H53" s="5">
        <f>IF(F53&lt;0,"🔴 STOCKOUT!",IF(F53&gt;G53,"🟣 OVERFLOW!",IF(F53&gt;G53*0.9,"🟡 WARNING: &gt;90%","✓ OK")))</f>
        <v/>
      </c>
      <c r="J53">
        <f>B53+E53</f>
        <v/>
      </c>
      <c r="K53">
        <f>C53+D53</f>
        <v/>
      </c>
    </row>
    <row r="54">
      <c r="A54" s="5" t="inlineStr">
        <is>
          <t>FN5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5">
        <f>F53+B54+E54-D54-C54</f>
        <v/>
      </c>
      <c r="G54" s="9">
        <f>$E$47 + ($H$47 * ROUTE_CONFIG!$D$16)</f>
        <v/>
      </c>
      <c r="H54" s="5">
        <f>IF(F54&lt;0,"🔴 STOCKOUT!",IF(F54&gt;G54,"🟣 OVERFLOW!",IF(F54&gt;G54*0.9,"🟡 WARNING: &gt;90%","✓ OK")))</f>
        <v/>
      </c>
      <c r="J54">
        <f>B54+E54</f>
        <v/>
      </c>
      <c r="K54">
        <f>C54+D54</f>
        <v/>
      </c>
    </row>
    <row r="55">
      <c r="A55" s="5" t="inlineStr">
        <is>
          <t>FN6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5">
        <f>F54+B55+E55-D55-C55</f>
        <v/>
      </c>
      <c r="G55" s="9">
        <f>$E$47 + ($H$47 * ROUTE_CONFIG!$D$16)</f>
        <v/>
      </c>
      <c r="H55" s="5">
        <f>IF(F55&lt;0,"🔴 STOCKOUT!",IF(F55&gt;G55,"🟣 OVERFLOW!",IF(F55&gt;G55*0.9,"🟡 WARNING: &gt;90%","✓ OK")))</f>
        <v/>
      </c>
      <c r="J55">
        <f>B55+E55</f>
        <v/>
      </c>
      <c r="K55">
        <f>C55+D55</f>
        <v/>
      </c>
    </row>
    <row r="56">
      <c r="A56" s="5" t="inlineStr">
        <is>
          <t>FN7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5">
        <f>F55+B56+E56-D56-C56</f>
        <v/>
      </c>
      <c r="G56" s="9">
        <f>$E$47 + ($H$47 * ROUTE_CONFIG!$D$16)</f>
        <v/>
      </c>
      <c r="H56" s="5">
        <f>IF(F56&lt;0,"🔴 STOCKOUT!",IF(F56&gt;G56,"🟣 OVERFLOW!",IF(F56&gt;G56*0.9,"🟡 WARNING: &gt;90%","✓ OK")))</f>
        <v/>
      </c>
      <c r="J56">
        <f>B56+E56</f>
        <v/>
      </c>
      <c r="K56">
        <f>C56+D56</f>
        <v/>
      </c>
    </row>
    <row r="57">
      <c r="A57" s="5" t="inlineStr">
        <is>
          <t>FN8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5">
        <f>F56+B57+E57-D57-C57</f>
        <v/>
      </c>
      <c r="G57" s="9">
        <f>$E$47 + ($H$47 * ROUTE_CONFIG!$D$16)</f>
        <v/>
      </c>
      <c r="H57" s="5">
        <f>IF(F57&lt;0,"🔴 STOCKOUT!",IF(F57&gt;G57,"🟣 OVERFLOW!",IF(F57&gt;G57*0.9,"🟡 WARNING: &gt;90%","✓ OK")))</f>
        <v/>
      </c>
      <c r="J57">
        <f>B57+E57</f>
        <v/>
      </c>
      <c r="K57">
        <f>C57+D57</f>
        <v/>
      </c>
    </row>
    <row r="60">
      <c r="A60" s="39" t="inlineStr">
        <is>
          <t>═══ SOUTH ZONE (Capacity: 0) ═══</t>
        </is>
      </c>
    </row>
    <row r="61">
      <c r="A61" s="5" t="inlineStr">
        <is>
          <t>Opening Inventory</t>
        </is>
      </c>
      <c r="B61" s="9" t="n">
        <v>0</v>
      </c>
      <c r="D61" s="5" t="inlineStr">
        <is>
          <t>Capacity</t>
        </is>
      </c>
      <c r="E61" s="9" t="n">
        <v>0</v>
      </c>
      <c r="G61" s="5" t="inlineStr">
        <is>
          <t>Rent Modules?</t>
        </is>
      </c>
      <c r="H61" s="6" t="n">
        <v>0</v>
      </c>
    </row>
    <row r="63">
      <c r="A63" s="40" t="inlineStr">
        <is>
          <t>Fortnight</t>
        </is>
      </c>
      <c r="B63" s="40" t="inlineStr">
        <is>
          <t>Production</t>
        </is>
      </c>
      <c r="C63" s="40" t="inlineStr">
        <is>
          <t>Sales</t>
        </is>
      </c>
      <c r="D63" s="40" t="inlineStr">
        <is>
          <t>Outgoing</t>
        </is>
      </c>
      <c r="E63" s="40" t="inlineStr">
        <is>
          <t>Incoming</t>
        </is>
      </c>
      <c r="F63" s="40" t="inlineStr">
        <is>
          <t>Projected Inv</t>
        </is>
      </c>
      <c r="G63" s="40" t="inlineStr">
        <is>
          <t>Capacity</t>
        </is>
      </c>
      <c r="H63" s="40" t="inlineStr">
        <is>
          <t>Flag</t>
        </is>
      </c>
      <c r="J63" t="inlineStr">
        <is>
          <t>Total Supply</t>
        </is>
      </c>
      <c r="K63" t="inlineStr">
        <is>
          <t>Total Demand</t>
        </is>
      </c>
    </row>
    <row r="64">
      <c r="A64" s="5" t="inlineStr">
        <is>
          <t>FN1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5">
        <f>$B$61+B64+E64-D64-C64</f>
        <v/>
      </c>
      <c r="G64" s="9">
        <f>$E$61 + ($H$61 * ROUTE_CONFIG!$D$17)</f>
        <v/>
      </c>
      <c r="H64" s="5">
        <f>IF(F64&lt;0,"🔴 STOCKOUT!",IF(F64&gt;G64,"🟣 OVERFLOW!",IF(F64&gt;G64*0.9,"🟡 WARNING: &gt;90%","✓ OK")))</f>
        <v/>
      </c>
      <c r="J64">
        <f>B64+E64</f>
        <v/>
      </c>
      <c r="K64">
        <f>C64+D64</f>
        <v/>
      </c>
    </row>
    <row r="65">
      <c r="A65" s="5" t="inlineStr">
        <is>
          <t>FN2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5">
        <f>F64+B65+E65-D65-C65</f>
        <v/>
      </c>
      <c r="G65" s="9">
        <f>$E$61 + ($H$61 * ROUTE_CONFIG!$D$17)</f>
        <v/>
      </c>
      <c r="H65" s="5">
        <f>IF(F65&lt;0,"🔴 STOCKOUT!",IF(F65&gt;G65,"🟣 OVERFLOW!",IF(F65&gt;G65*0.9,"🟡 WARNING: &gt;90%","✓ OK")))</f>
        <v/>
      </c>
      <c r="J65">
        <f>B65+E65</f>
        <v/>
      </c>
      <c r="K65">
        <f>C65+D65</f>
        <v/>
      </c>
    </row>
    <row r="66">
      <c r="A66" s="5" t="inlineStr">
        <is>
          <t>FN3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5">
        <f>F65+B66+E66-D66-C66</f>
        <v/>
      </c>
      <c r="G66" s="9">
        <f>$E$61 + ($H$61 * ROUTE_CONFIG!$D$17)</f>
        <v/>
      </c>
      <c r="H66" s="5">
        <f>IF(F66&lt;0,"🔴 STOCKOUT!",IF(F66&gt;G66,"🟣 OVERFLOW!",IF(F66&gt;G66*0.9,"🟡 WARNING: &gt;90%","✓ OK")))</f>
        <v/>
      </c>
      <c r="J66">
        <f>B66+E66</f>
        <v/>
      </c>
      <c r="K66">
        <f>C66+D66</f>
        <v/>
      </c>
    </row>
    <row r="67">
      <c r="A67" s="5" t="inlineStr">
        <is>
          <t>FN4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5">
        <f>F66+B67+E67-D67-C67</f>
        <v/>
      </c>
      <c r="G67" s="9">
        <f>$E$61 + ($H$61 * ROUTE_CONFIG!$D$17)</f>
        <v/>
      </c>
      <c r="H67" s="5">
        <f>IF(F67&lt;0,"🔴 STOCKOUT!",IF(F67&gt;G67,"🟣 OVERFLOW!",IF(F67&gt;G67*0.9,"🟡 WARNING: &gt;90%","✓ OK")))</f>
        <v/>
      </c>
      <c r="J67">
        <f>B67+E67</f>
        <v/>
      </c>
      <c r="K67">
        <f>C67+D67</f>
        <v/>
      </c>
    </row>
    <row r="68">
      <c r="A68" s="5" t="inlineStr">
        <is>
          <t>FN5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5">
        <f>F67+B68+E68-D68-C68</f>
        <v/>
      </c>
      <c r="G68" s="9">
        <f>$E$61 + ($H$61 * ROUTE_CONFIG!$D$17)</f>
        <v/>
      </c>
      <c r="H68" s="5">
        <f>IF(F68&lt;0,"🔴 STOCKOUT!",IF(F68&gt;G68,"🟣 OVERFLOW!",IF(F68&gt;G68*0.9,"🟡 WARNING: &gt;90%","✓ OK")))</f>
        <v/>
      </c>
      <c r="J68">
        <f>B68+E68</f>
        <v/>
      </c>
      <c r="K68">
        <f>C68+D68</f>
        <v/>
      </c>
    </row>
    <row r="69">
      <c r="A69" s="5" t="inlineStr">
        <is>
          <t>FN6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5">
        <f>F68+B69+E69-D69-C69</f>
        <v/>
      </c>
      <c r="G69" s="9">
        <f>$E$61 + ($H$61 * ROUTE_CONFIG!$D$17)</f>
        <v/>
      </c>
      <c r="H69" s="5">
        <f>IF(F69&lt;0,"🔴 STOCKOUT!",IF(F69&gt;G69,"🟣 OVERFLOW!",IF(F69&gt;G69*0.9,"🟡 WARNING: &gt;90%","✓ OK")))</f>
        <v/>
      </c>
      <c r="J69">
        <f>B69+E69</f>
        <v/>
      </c>
      <c r="K69">
        <f>C69+D69</f>
        <v/>
      </c>
    </row>
    <row r="70">
      <c r="A70" s="5" t="inlineStr">
        <is>
          <t>FN7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5">
        <f>F69+B70+E70-D70-C70</f>
        <v/>
      </c>
      <c r="G70" s="9">
        <f>$E$61 + ($H$61 * ROUTE_CONFIG!$D$17)</f>
        <v/>
      </c>
      <c r="H70" s="5">
        <f>IF(F70&lt;0,"🔴 STOCKOUT!",IF(F70&gt;G70,"🟣 OVERFLOW!",IF(F70&gt;G70*0.9,"🟡 WARNING: &gt;90%","✓ OK")))</f>
        <v/>
      </c>
      <c r="J70">
        <f>B70+E70</f>
        <v/>
      </c>
      <c r="K70">
        <f>C70+D70</f>
        <v/>
      </c>
    </row>
    <row r="71">
      <c r="A71" s="5" t="inlineStr">
        <is>
          <t>FN8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5">
        <f>F70+B71+E71-D71-C71</f>
        <v/>
      </c>
      <c r="G71" s="9">
        <f>$E$61 + ($H$61 * ROUTE_CONFIG!$D$17)</f>
        <v/>
      </c>
      <c r="H71" s="5">
        <f>IF(F71&lt;0,"🔴 STOCKOUT!",IF(F71&gt;G71,"🟣 OVERFLOW!",IF(F71&gt;G71*0.9,"🟡 WARNING: &gt;90%","✓ OK")))</f>
        <v/>
      </c>
      <c r="J71">
        <f>B71+E71</f>
        <v/>
      </c>
      <c r="K71">
        <f>C71+D71</f>
        <v/>
      </c>
    </row>
  </sheetData>
  <mergeCells count="5">
    <mergeCell ref="A18:H18"/>
    <mergeCell ref="A4:H4"/>
    <mergeCell ref="A60:H60"/>
    <mergeCell ref="A46:H46"/>
    <mergeCell ref="A32:H32"/>
  </mergeCells>
  <conditionalFormatting sqref="F8:F15">
    <cfRule type="expression" priority="1" dxfId="0">
      <formula>F8&lt;0</formula>
    </cfRule>
    <cfRule type="expression" priority="2" dxfId="1">
      <formula>F8&gt;G8</formula>
    </cfRule>
    <cfRule type="expression" priority="3" dxfId="2">
      <formula>AND(F8&gt;G8*0.9, F8&lt;=G8)</formula>
    </cfRule>
    <cfRule type="expression" priority="4" dxfId="3">
      <formula>AND(F8&gt;=0, F8&lt;=G8*0.9)</formula>
    </cfRule>
  </conditionalFormatting>
  <conditionalFormatting sqref="F22:F29">
    <cfRule type="expression" priority="5" dxfId="0">
      <formula>F22&lt;0</formula>
    </cfRule>
    <cfRule type="expression" priority="6" dxfId="1">
      <formula>F22&gt;G22</formula>
    </cfRule>
    <cfRule type="expression" priority="7" dxfId="2">
      <formula>AND(F22&gt;G22*0.9, F22&lt;=G22)</formula>
    </cfRule>
    <cfRule type="expression" priority="8" dxfId="3">
      <formula>AND(F22&gt;=0, F22&lt;=G22*0.9)</formula>
    </cfRule>
  </conditionalFormatting>
  <conditionalFormatting sqref="F36:F43">
    <cfRule type="expression" priority="9" dxfId="0">
      <formula>F36&lt;0</formula>
    </cfRule>
    <cfRule type="expression" priority="10" dxfId="1">
      <formula>F36&gt;G36</formula>
    </cfRule>
    <cfRule type="expression" priority="11" dxfId="2">
      <formula>AND(F36&gt;G36*0.9, F36&lt;=G36)</formula>
    </cfRule>
    <cfRule type="expression" priority="12" dxfId="3">
      <formula>AND(F36&gt;=0, F36&lt;=G36*0.9)</formula>
    </cfRule>
  </conditionalFormatting>
  <conditionalFormatting sqref="F50:F57">
    <cfRule type="expression" priority="13" dxfId="0">
      <formula>F50&lt;0</formula>
    </cfRule>
    <cfRule type="expression" priority="14" dxfId="1">
      <formula>F50&gt;G50</formula>
    </cfRule>
    <cfRule type="expression" priority="15" dxfId="2">
      <formula>AND(F50&gt;G50*0.9, F50&lt;=G50)</formula>
    </cfRule>
    <cfRule type="expression" priority="16" dxfId="3">
      <formula>AND(F50&gt;=0, F50&lt;=G50*0.9)</formula>
    </cfRule>
  </conditionalFormatting>
  <conditionalFormatting sqref="F64:F71">
    <cfRule type="expression" priority="17" dxfId="0">
      <formula>F64&lt;0</formula>
    </cfRule>
    <cfRule type="expression" priority="18" dxfId="1">
      <formula>F64&gt;G64</formula>
    </cfRule>
    <cfRule type="expression" priority="19" dxfId="2">
      <formula>AND(F64&gt;G64*0.9, F64&lt;=G64)</formula>
    </cfRule>
    <cfRule type="expression" priority="20" dxfId="3">
      <formula>AND(F64&gt;=0, F64&lt;=G64*0.9)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3" max="13"/>
    <col width="16" customWidth="1" min="14" max="14"/>
  </cols>
  <sheetData>
    <row r="1">
      <c r="A1" s="1" t="inlineStr">
        <is>
          <t>SHIPMENT BUILDER - Plan Your Transfers</t>
        </is>
      </c>
    </row>
    <row r="2">
      <c r="A2" s="2" t="inlineStr">
        <is>
          <t>Add shipments here. MANUALLY update Outgoing/Incoming in INVENTORY_TETRIS (shifted by Lead Time).</t>
        </is>
      </c>
    </row>
    <row r="4">
      <c r="A4" s="3" t="inlineStr">
        <is>
          <t>SHIPMENT LOG</t>
        </is>
      </c>
      <c r="M4" s="3" t="inlineStr">
        <is>
          <t>HISTORICAL COST BENCHMARKS</t>
        </is>
      </c>
    </row>
    <row r="5">
      <c r="A5" s="4" t="inlineStr">
        <is>
          <t>Values</t>
        </is>
      </c>
      <c r="B5" s="4" t="inlineStr">
        <is>
          <t>From Zone</t>
        </is>
      </c>
      <c r="C5" s="4" t="inlineStr">
        <is>
          <t>To Zone</t>
        </is>
      </c>
      <c r="D5" s="4" t="inlineStr">
        <is>
          <t>Transport Mode</t>
        </is>
      </c>
      <c r="E5" s="4" t="inlineStr">
        <is>
          <t>Units</t>
        </is>
      </c>
      <c r="F5" s="4" t="inlineStr">
        <is>
          <t>Cost/Unit</t>
        </is>
      </c>
      <c r="G5" s="4" t="inlineStr">
        <is>
          <t>Total Cost</t>
        </is>
      </c>
      <c r="H5" s="4" t="inlineStr">
        <is>
          <t>Ship FN</t>
        </is>
      </c>
      <c r="I5" s="4" t="inlineStr">
        <is>
          <t>Lead Time</t>
        </is>
      </c>
      <c r="J5" s="4" t="inlineStr">
        <is>
          <t>Arrive FN</t>
        </is>
      </c>
      <c r="M5" s="4" t="inlineStr">
        <is>
          <t>Route</t>
        </is>
      </c>
      <c r="N5" s="4" t="inlineStr">
        <is>
          <t>Benchmark $/Unit</t>
        </is>
      </c>
    </row>
    <row r="6">
      <c r="A6" s="5" t="inlineStr">
        <is>
          <t>Shipment 1</t>
        </is>
      </c>
      <c r="B6" s="6" t="n"/>
      <c r="C6" s="6" t="n"/>
      <c r="D6" s="6" t="n"/>
      <c r="E6" s="6" t="n"/>
      <c r="F6" s="41">
        <f>IF(ISBLANK(D6), 0, VLOOKUP(D6, ROUTE_CONFIG!$A$6:$C$8, 3, FALSE))</f>
        <v/>
      </c>
      <c r="G6" s="41">
        <f>IF(ISBLANK(D6), 0, E6*F6)</f>
        <v/>
      </c>
      <c r="H6" s="42" t="n"/>
      <c r="I6" s="43">
        <f>IF(ISBLANK(D6), 0, VLOOKUP(D6, ROUTE_CONFIG!$A$6:$C$8, 2, FALSE))</f>
        <v/>
      </c>
      <c r="J6" s="44">
        <f>IF(ISBLANK(D6), 0, H6+I6)</f>
        <v/>
      </c>
      <c r="M6" s="9" t="inlineStr">
        <is>
          <t>Train (Center - West)</t>
        </is>
      </c>
      <c r="N6" s="45" t="n">
        <v>13.2</v>
      </c>
    </row>
    <row r="7">
      <c r="A7" s="5" t="inlineStr">
        <is>
          <t>Shipment 2</t>
        </is>
      </c>
      <c r="B7" s="6" t="n"/>
      <c r="C7" s="6" t="n"/>
      <c r="D7" s="6" t="n"/>
      <c r="E7" s="6" t="n"/>
      <c r="F7" s="41">
        <f>IF(ISBLANK(D7), 0, VLOOKUP(D7, ROUTE_CONFIG!$A$6:$C$8, 3, FALSE))</f>
        <v/>
      </c>
      <c r="G7" s="41">
        <f>IF(ISBLANK(D7), 0, E7*F7)</f>
        <v/>
      </c>
      <c r="H7" s="42" t="n"/>
      <c r="I7" s="43">
        <f>IF(ISBLANK(D7), 0, VLOOKUP(D7, ROUTE_CONFIG!$A$6:$C$8, 2, FALSE))</f>
        <v/>
      </c>
      <c r="J7" s="44">
        <f>IF(ISBLANK(D7), 0, H7+I7)</f>
        <v/>
      </c>
      <c r="M7" s="9" t="inlineStr">
        <is>
          <t>Train (Center - North)</t>
        </is>
      </c>
      <c r="N7" s="45" t="n">
        <v>16.31992540096979</v>
      </c>
    </row>
    <row r="8">
      <c r="A8" s="5" t="inlineStr">
        <is>
          <t>Shipment 3</t>
        </is>
      </c>
      <c r="B8" s="6" t="n"/>
      <c r="C8" s="6" t="n"/>
      <c r="D8" s="6" t="n"/>
      <c r="E8" s="6" t="n"/>
      <c r="F8" s="41">
        <f>IF(ISBLANK(D8), 0, VLOOKUP(D8, ROUTE_CONFIG!$A$6:$C$8, 3, FALSE))</f>
        <v/>
      </c>
      <c r="G8" s="41">
        <f>IF(ISBLANK(D8), 0, E8*F8)</f>
        <v/>
      </c>
      <c r="H8" s="42" t="n"/>
      <c r="I8" s="43">
        <f>IF(ISBLANK(D8), 0, VLOOKUP(D8, ROUTE_CONFIG!$A$6:$C$8, 2, FALSE))</f>
        <v/>
      </c>
      <c r="J8" s="44">
        <f>IF(ISBLANK(D8), 0, H8+I8)</f>
        <v/>
      </c>
    </row>
    <row r="9">
      <c r="A9" s="5" t="inlineStr">
        <is>
          <t>Shipment 4</t>
        </is>
      </c>
      <c r="B9" s="6" t="n"/>
      <c r="C9" s="6" t="n"/>
      <c r="D9" s="6" t="n"/>
      <c r="E9" s="6" t="n"/>
      <c r="F9" s="41">
        <f>IF(ISBLANK(D9), 0, VLOOKUP(D9, ROUTE_CONFIG!$A$6:$C$8, 3, FALSE))</f>
        <v/>
      </c>
      <c r="G9" s="41">
        <f>IF(ISBLANK(D9), 0, E9*F9)</f>
        <v/>
      </c>
      <c r="H9" s="42" t="n"/>
      <c r="I9" s="43">
        <f>IF(ISBLANK(D9), 0, VLOOKUP(D9, ROUTE_CONFIG!$A$6:$C$8, 2, FALSE))</f>
        <v/>
      </c>
      <c r="J9" s="44">
        <f>IF(ISBLANK(D9), 0, H9+I9)</f>
        <v/>
      </c>
    </row>
    <row r="10">
      <c r="A10" s="5" t="inlineStr">
        <is>
          <t>Shipment 5</t>
        </is>
      </c>
      <c r="B10" s="6" t="n"/>
      <c r="C10" s="6" t="n"/>
      <c r="D10" s="6" t="n"/>
      <c r="E10" s="6" t="n"/>
      <c r="F10" s="41">
        <f>IF(ISBLANK(D10), 0, VLOOKUP(D10, ROUTE_CONFIG!$A$6:$C$8, 3, FALSE))</f>
        <v/>
      </c>
      <c r="G10" s="41">
        <f>IF(ISBLANK(D10), 0, E10*F10)</f>
        <v/>
      </c>
      <c r="H10" s="42" t="n"/>
      <c r="I10" s="43">
        <f>IF(ISBLANK(D10), 0, VLOOKUP(D10, ROUTE_CONFIG!$A$6:$C$8, 2, FALSE))</f>
        <v/>
      </c>
      <c r="J10" s="44">
        <f>IF(ISBLANK(D10), 0, H10+I10)</f>
        <v/>
      </c>
    </row>
    <row r="11">
      <c r="A11" s="5" t="inlineStr">
        <is>
          <t>Shipment 6</t>
        </is>
      </c>
      <c r="B11" s="6" t="n"/>
      <c r="C11" s="6" t="n"/>
      <c r="D11" s="6" t="n"/>
      <c r="E11" s="6" t="n"/>
      <c r="F11" s="41">
        <f>IF(ISBLANK(D11), 0, VLOOKUP(D11, ROUTE_CONFIG!$A$6:$C$8, 3, FALSE))</f>
        <v/>
      </c>
      <c r="G11" s="41">
        <f>IF(ISBLANK(D11), 0, E11*F11)</f>
        <v/>
      </c>
      <c r="H11" s="42" t="n"/>
      <c r="I11" s="43">
        <f>IF(ISBLANK(D11), 0, VLOOKUP(D11, ROUTE_CONFIG!$A$6:$C$8, 2, FALSE))</f>
        <v/>
      </c>
      <c r="J11" s="44">
        <f>IF(ISBLANK(D11), 0, H11+I11)</f>
        <v/>
      </c>
    </row>
    <row r="12">
      <c r="A12" s="5" t="inlineStr">
        <is>
          <t>Shipment 7</t>
        </is>
      </c>
      <c r="B12" s="6" t="n"/>
      <c r="C12" s="6" t="n"/>
      <c r="D12" s="6" t="n"/>
      <c r="E12" s="6" t="n"/>
      <c r="F12" s="41">
        <f>IF(ISBLANK(D12), 0, VLOOKUP(D12, ROUTE_CONFIG!$A$6:$C$8, 3, FALSE))</f>
        <v/>
      </c>
      <c r="G12" s="41">
        <f>IF(ISBLANK(D12), 0, E12*F12)</f>
        <v/>
      </c>
      <c r="H12" s="42" t="n"/>
      <c r="I12" s="43">
        <f>IF(ISBLANK(D12), 0, VLOOKUP(D12, ROUTE_CONFIG!$A$6:$C$8, 2, FALSE))</f>
        <v/>
      </c>
      <c r="J12" s="44">
        <f>IF(ISBLANK(D12), 0, H12+I12)</f>
        <v/>
      </c>
    </row>
    <row r="13">
      <c r="A13" s="5" t="inlineStr">
        <is>
          <t>Shipment 8</t>
        </is>
      </c>
      <c r="B13" s="6" t="n"/>
      <c r="C13" s="6" t="n"/>
      <c r="D13" s="6" t="n"/>
      <c r="E13" s="6" t="n"/>
      <c r="F13" s="41">
        <f>IF(ISBLANK(D13), 0, VLOOKUP(D13, ROUTE_CONFIG!$A$6:$C$8, 3, FALSE))</f>
        <v/>
      </c>
      <c r="G13" s="41">
        <f>IF(ISBLANK(D13), 0, E13*F13)</f>
        <v/>
      </c>
      <c r="H13" s="42" t="n"/>
      <c r="I13" s="43">
        <f>IF(ISBLANK(D13), 0, VLOOKUP(D13, ROUTE_CONFIG!$A$6:$C$8, 2, FALSE))</f>
        <v/>
      </c>
      <c r="J13" s="44">
        <f>IF(ISBLANK(D13), 0, H13+I13)</f>
        <v/>
      </c>
    </row>
    <row r="14">
      <c r="A14" s="5" t="inlineStr">
        <is>
          <t>Shipment 9</t>
        </is>
      </c>
      <c r="B14" s="6" t="n"/>
      <c r="C14" s="6" t="n"/>
      <c r="D14" s="6" t="n"/>
      <c r="E14" s="6" t="n"/>
      <c r="F14" s="41">
        <f>IF(ISBLANK(D14), 0, VLOOKUP(D14, ROUTE_CONFIG!$A$6:$C$8, 3, FALSE))</f>
        <v/>
      </c>
      <c r="G14" s="41">
        <f>IF(ISBLANK(D14), 0, E14*F14)</f>
        <v/>
      </c>
      <c r="H14" s="42" t="n"/>
      <c r="I14" s="43">
        <f>IF(ISBLANK(D14), 0, VLOOKUP(D14, ROUTE_CONFIG!$A$6:$C$8, 2, FALSE))</f>
        <v/>
      </c>
      <c r="J14" s="44">
        <f>IF(ISBLANK(D14), 0, H14+I14)</f>
        <v/>
      </c>
    </row>
    <row r="15">
      <c r="A15" s="5" t="inlineStr">
        <is>
          <t>Shipment 10</t>
        </is>
      </c>
      <c r="B15" s="6" t="n"/>
      <c r="C15" s="6" t="n"/>
      <c r="D15" s="6" t="n"/>
      <c r="E15" s="6" t="n"/>
      <c r="F15" s="41">
        <f>IF(ISBLANK(D15), 0, VLOOKUP(D15, ROUTE_CONFIG!$A$6:$C$8, 3, FALSE))</f>
        <v/>
      </c>
      <c r="G15" s="41">
        <f>IF(ISBLANK(D15), 0, E15*F15)</f>
        <v/>
      </c>
      <c r="H15" s="42" t="n"/>
      <c r="I15" s="43">
        <f>IF(ISBLANK(D15), 0, VLOOKUP(D15, ROUTE_CONFIG!$A$6:$C$8, 2, FALSE))</f>
        <v/>
      </c>
      <c r="J15" s="44">
        <f>IF(ISBLANK(D15), 0, H15+I15)</f>
        <v/>
      </c>
    </row>
    <row r="16">
      <c r="A16" s="5" t="inlineStr">
        <is>
          <t>Shipment 11</t>
        </is>
      </c>
      <c r="B16" s="6" t="n"/>
      <c r="C16" s="6" t="n"/>
      <c r="D16" s="6" t="n"/>
      <c r="E16" s="6" t="n"/>
      <c r="F16" s="41">
        <f>IF(ISBLANK(D16), 0, VLOOKUP(D16, ROUTE_CONFIG!$A$6:$C$8, 3, FALSE))</f>
        <v/>
      </c>
      <c r="G16" s="41">
        <f>IF(ISBLANK(D16), 0, E16*F16)</f>
        <v/>
      </c>
      <c r="H16" s="42" t="n"/>
      <c r="I16" s="43">
        <f>IF(ISBLANK(D16), 0, VLOOKUP(D16, ROUTE_CONFIG!$A$6:$C$8, 2, FALSE))</f>
        <v/>
      </c>
      <c r="J16" s="44">
        <f>IF(ISBLANK(D16), 0, H16+I16)</f>
        <v/>
      </c>
    </row>
    <row r="17">
      <c r="A17" s="5" t="inlineStr">
        <is>
          <t>Shipment 12</t>
        </is>
      </c>
      <c r="B17" s="6" t="n"/>
      <c r="C17" s="6" t="n"/>
      <c r="D17" s="6" t="n"/>
      <c r="E17" s="6" t="n"/>
      <c r="F17" s="41">
        <f>IF(ISBLANK(D17), 0, VLOOKUP(D17, ROUTE_CONFIG!$A$6:$C$8, 3, FALSE))</f>
        <v/>
      </c>
      <c r="G17" s="41">
        <f>IF(ISBLANK(D17), 0, E17*F17)</f>
        <v/>
      </c>
      <c r="H17" s="42" t="n"/>
      <c r="I17" s="43">
        <f>IF(ISBLANK(D17), 0, VLOOKUP(D17, ROUTE_CONFIG!$A$6:$C$8, 2, FALSE))</f>
        <v/>
      </c>
      <c r="J17" s="44">
        <f>IF(ISBLANK(D17), 0, H17+I17)</f>
        <v/>
      </c>
    </row>
    <row r="18">
      <c r="A18" s="5" t="inlineStr">
        <is>
          <t>Shipment 13</t>
        </is>
      </c>
      <c r="B18" s="6" t="n"/>
      <c r="C18" s="6" t="n"/>
      <c r="D18" s="6" t="n"/>
      <c r="E18" s="6" t="n"/>
      <c r="F18" s="41">
        <f>IF(ISBLANK(D18), 0, VLOOKUP(D18, ROUTE_CONFIG!$A$6:$C$8, 3, FALSE))</f>
        <v/>
      </c>
      <c r="G18" s="41">
        <f>IF(ISBLANK(D18), 0, E18*F18)</f>
        <v/>
      </c>
      <c r="H18" s="42" t="n"/>
      <c r="I18" s="43">
        <f>IF(ISBLANK(D18), 0, VLOOKUP(D18, ROUTE_CONFIG!$A$6:$C$8, 2, FALSE))</f>
        <v/>
      </c>
      <c r="J18" s="44">
        <f>IF(ISBLANK(D18), 0, H18+I18)</f>
        <v/>
      </c>
    </row>
    <row r="19">
      <c r="A19" s="5" t="inlineStr">
        <is>
          <t>Shipment 14</t>
        </is>
      </c>
      <c r="B19" s="6" t="n"/>
      <c r="C19" s="6" t="n"/>
      <c r="D19" s="6" t="n"/>
      <c r="E19" s="6" t="n"/>
      <c r="F19" s="41">
        <f>IF(ISBLANK(D19), 0, VLOOKUP(D19, ROUTE_CONFIG!$A$6:$C$8, 3, FALSE))</f>
        <v/>
      </c>
      <c r="G19" s="41">
        <f>IF(ISBLANK(D19), 0, E19*F19)</f>
        <v/>
      </c>
      <c r="H19" s="42" t="n"/>
      <c r="I19" s="43">
        <f>IF(ISBLANK(D19), 0, VLOOKUP(D19, ROUTE_CONFIG!$A$6:$C$8, 2, FALSE))</f>
        <v/>
      </c>
      <c r="J19" s="44">
        <f>IF(ISBLANK(D19), 0, H19+I19)</f>
        <v/>
      </c>
    </row>
    <row r="20">
      <c r="A20" s="5" t="inlineStr">
        <is>
          <t>Shipment 15</t>
        </is>
      </c>
      <c r="B20" s="6" t="n"/>
      <c r="C20" s="6" t="n"/>
      <c r="D20" s="6" t="n"/>
      <c r="E20" s="6" t="n"/>
      <c r="F20" s="41">
        <f>IF(ISBLANK(D20), 0, VLOOKUP(D20, ROUTE_CONFIG!$A$6:$C$8, 3, FALSE))</f>
        <v/>
      </c>
      <c r="G20" s="41">
        <f>IF(ISBLANK(D20), 0, E20*F20)</f>
        <v/>
      </c>
      <c r="H20" s="42" t="n"/>
      <c r="I20" s="43">
        <f>IF(ISBLANK(D20), 0, VLOOKUP(D20, ROUTE_CONFIG!$A$6:$C$8, 2, FALSE))</f>
        <v/>
      </c>
      <c r="J20" s="44">
        <f>IF(ISBLANK(D20), 0, H20+I20)</f>
        <v/>
      </c>
    </row>
    <row r="21">
      <c r="A21" s="5" t="inlineStr">
        <is>
          <t>Shipment 16</t>
        </is>
      </c>
      <c r="B21" s="6" t="n"/>
      <c r="C21" s="6" t="n"/>
      <c r="D21" s="6" t="n"/>
      <c r="E21" s="6" t="n"/>
      <c r="F21" s="41">
        <f>IF(ISBLANK(D21), 0, VLOOKUP(D21, ROUTE_CONFIG!$A$6:$C$8, 3, FALSE))</f>
        <v/>
      </c>
      <c r="G21" s="41">
        <f>IF(ISBLANK(D21), 0, E21*F21)</f>
        <v/>
      </c>
      <c r="H21" s="42" t="n"/>
      <c r="I21" s="43">
        <f>IF(ISBLANK(D21), 0, VLOOKUP(D21, ROUTE_CONFIG!$A$6:$C$8, 2, FALSE))</f>
        <v/>
      </c>
      <c r="J21" s="44">
        <f>IF(ISBLANK(D21), 0, H21+I21)</f>
        <v/>
      </c>
    </row>
    <row r="22">
      <c r="A22" s="5" t="inlineStr">
        <is>
          <t>Shipment 17</t>
        </is>
      </c>
      <c r="B22" s="6" t="n"/>
      <c r="C22" s="6" t="n"/>
      <c r="D22" s="6" t="n"/>
      <c r="E22" s="6" t="n"/>
      <c r="F22" s="41">
        <f>IF(ISBLANK(D22), 0, VLOOKUP(D22, ROUTE_CONFIG!$A$6:$C$8, 3, FALSE))</f>
        <v/>
      </c>
      <c r="G22" s="41">
        <f>IF(ISBLANK(D22), 0, E22*F22)</f>
        <v/>
      </c>
      <c r="H22" s="42" t="n"/>
      <c r="I22" s="43">
        <f>IF(ISBLANK(D22), 0, VLOOKUP(D22, ROUTE_CONFIG!$A$6:$C$8, 2, FALSE))</f>
        <v/>
      </c>
      <c r="J22" s="44">
        <f>IF(ISBLANK(D22), 0, H22+I22)</f>
        <v/>
      </c>
    </row>
    <row r="23">
      <c r="A23" s="5" t="inlineStr">
        <is>
          <t>Shipment 18</t>
        </is>
      </c>
      <c r="B23" s="6" t="n"/>
      <c r="C23" s="6" t="n"/>
      <c r="D23" s="6" t="n"/>
      <c r="E23" s="6" t="n"/>
      <c r="F23" s="41">
        <f>IF(ISBLANK(D23), 0, VLOOKUP(D23, ROUTE_CONFIG!$A$6:$C$8, 3, FALSE))</f>
        <v/>
      </c>
      <c r="G23" s="41">
        <f>IF(ISBLANK(D23), 0, E23*F23)</f>
        <v/>
      </c>
      <c r="H23" s="42" t="n"/>
      <c r="I23" s="43">
        <f>IF(ISBLANK(D23), 0, VLOOKUP(D23, ROUTE_CONFIG!$A$6:$C$8, 2, FALSE))</f>
        <v/>
      </c>
      <c r="J23" s="44">
        <f>IF(ISBLANK(D23), 0, H23+I23)</f>
        <v/>
      </c>
    </row>
    <row r="24">
      <c r="A24" s="5" t="inlineStr">
        <is>
          <t>Shipment 19</t>
        </is>
      </c>
      <c r="B24" s="6" t="n"/>
      <c r="C24" s="6" t="n"/>
      <c r="D24" s="6" t="n"/>
      <c r="E24" s="6" t="n"/>
      <c r="F24" s="41">
        <f>IF(ISBLANK(D24), 0, VLOOKUP(D24, ROUTE_CONFIG!$A$6:$C$8, 3, FALSE))</f>
        <v/>
      </c>
      <c r="G24" s="41">
        <f>IF(ISBLANK(D24), 0, E24*F24)</f>
        <v/>
      </c>
      <c r="H24" s="42" t="n"/>
      <c r="I24" s="43">
        <f>IF(ISBLANK(D24), 0, VLOOKUP(D24, ROUTE_CONFIG!$A$6:$C$8, 2, FALSE))</f>
        <v/>
      </c>
      <c r="J24" s="44">
        <f>IF(ISBLANK(D24), 0, H24+I24)</f>
        <v/>
      </c>
    </row>
    <row r="25">
      <c r="A25" s="5" t="inlineStr">
        <is>
          <t>Shipment 20</t>
        </is>
      </c>
      <c r="B25" s="6" t="n"/>
      <c r="C25" s="6" t="n"/>
      <c r="D25" s="6" t="n"/>
      <c r="E25" s="6" t="n"/>
      <c r="F25" s="41">
        <f>IF(ISBLANK(D25), 0, VLOOKUP(D25, ROUTE_CONFIG!$A$6:$C$8, 3, FALSE))</f>
        <v/>
      </c>
      <c r="G25" s="41">
        <f>IF(ISBLANK(D25), 0, E25*F25)</f>
        <v/>
      </c>
      <c r="H25" s="42" t="n"/>
      <c r="I25" s="43">
        <f>IF(ISBLANK(D25), 0, VLOOKUP(D25, ROUTE_CONFIG!$A$6:$C$8, 2, FALSE))</f>
        <v/>
      </c>
      <c r="J25" s="44">
        <f>IF(ISBLANK(D25), 0, H25+I25)</f>
        <v/>
      </c>
    </row>
    <row r="27">
      <c r="A27" s="46" t="inlineStr">
        <is>
          <t>⚠️ Red cells = Cost &gt;20% above avg benchmark ($14.76 avg)</t>
        </is>
      </c>
    </row>
  </sheetData>
  <mergeCells count="1">
    <mergeCell ref="M4:N4"/>
  </mergeCells>
  <conditionalFormatting sqref="F6:F25">
    <cfRule type="expression" priority="1" dxfId="4">
      <formula>F6&gt;17.711955240581872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LOGISTICS DECISIONS - ExSim Upload Format</t>
        </is>
      </c>
    </row>
    <row r="2">
      <c r="A2" s="2" t="inlineStr">
        <is>
          <t>Copy these values to the web platform.</t>
        </is>
      </c>
    </row>
    <row r="4">
      <c r="A4" s="3" t="inlineStr">
        <is>
          <t>Planned Shipments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Material</t>
        </is>
      </c>
      <c r="D5" s="4" t="inlineStr">
        <is>
          <t>Amount</t>
        </is>
      </c>
      <c r="E5" s="4" t="inlineStr">
        <is>
          <t>F1</t>
        </is>
      </c>
      <c r="F5" s="4" t="inlineStr">
        <is>
          <t>F2</t>
        </is>
      </c>
      <c r="G5" s="4" t="inlineStr">
        <is>
          <t>F3</t>
        </is>
      </c>
      <c r="H5" s="4" t="inlineStr">
        <is>
          <t>F4</t>
        </is>
      </c>
      <c r="I5" s="4" t="inlineStr">
        <is>
          <t>F5</t>
        </is>
      </c>
      <c r="J5" s="4" t="inlineStr">
        <is>
          <t>F6</t>
        </is>
      </c>
      <c r="K5" s="4" t="inlineStr">
        <is>
          <t>F7</t>
        </is>
      </c>
      <c r="L5" s="4" t="inlineStr">
        <is>
          <t>F8</t>
        </is>
      </c>
    </row>
    <row r="6">
      <c r="A6" s="9">
        <f>SHIPMENT_BUILDER!B6</f>
        <v/>
      </c>
      <c r="B6" s="9">
        <f>SHIPMENT_BUILDER!C6</f>
        <v/>
      </c>
      <c r="C6" s="5" t="inlineStr">
        <is>
          <t>Electroclean</t>
        </is>
      </c>
      <c r="D6" s="9">
        <f>SHIPMENT_BUILDER!E6</f>
        <v/>
      </c>
      <c r="E6" s="47">
        <f>IF(SHIPMENT_BUILDER!$H$6=1, SHIPMENT_BUILDER!$E$6, 0)</f>
        <v/>
      </c>
      <c r="F6" s="47">
        <f>IF(SHIPMENT_BUILDER!$H$6=2, SHIPMENT_BUILDER!$E$6, 0)</f>
        <v/>
      </c>
      <c r="G6" s="47">
        <f>IF(SHIPMENT_BUILDER!$H$6=3, SHIPMENT_BUILDER!$E$6, 0)</f>
        <v/>
      </c>
      <c r="H6" s="47">
        <f>IF(SHIPMENT_BUILDER!$H$6=4, SHIPMENT_BUILDER!$E$6, 0)</f>
        <v/>
      </c>
      <c r="I6" s="47">
        <f>IF(SHIPMENT_BUILDER!$H$6=5, SHIPMENT_BUILDER!$E$6, 0)</f>
        <v/>
      </c>
      <c r="J6" s="47">
        <f>IF(SHIPMENT_BUILDER!$H$6=6, SHIPMENT_BUILDER!$E$6, 0)</f>
        <v/>
      </c>
      <c r="K6" s="47">
        <f>IF(SHIPMENT_BUILDER!$H$6=7, SHIPMENT_BUILDER!$E$6, 0)</f>
        <v/>
      </c>
      <c r="L6" s="47">
        <f>IF(SHIPMENT_BUILDER!$H$6=8, SHIPMENT_BUILDER!$E$6, 0)</f>
        <v/>
      </c>
    </row>
    <row r="7">
      <c r="A7" s="9">
        <f>SHIPMENT_BUILDER!B7</f>
        <v/>
      </c>
      <c r="B7" s="9">
        <f>SHIPMENT_BUILDER!C7</f>
        <v/>
      </c>
      <c r="C7" s="5" t="inlineStr">
        <is>
          <t>Electroclean</t>
        </is>
      </c>
      <c r="D7" s="9">
        <f>SHIPMENT_BUILDER!E7</f>
        <v/>
      </c>
      <c r="E7" s="47">
        <f>IF(SHIPMENT_BUILDER!$H$7=1, SHIPMENT_BUILDER!$E$7, 0)</f>
        <v/>
      </c>
      <c r="F7" s="47">
        <f>IF(SHIPMENT_BUILDER!$H$7=2, SHIPMENT_BUILDER!$E$7, 0)</f>
        <v/>
      </c>
      <c r="G7" s="47">
        <f>IF(SHIPMENT_BUILDER!$H$7=3, SHIPMENT_BUILDER!$E$7, 0)</f>
        <v/>
      </c>
      <c r="H7" s="47">
        <f>IF(SHIPMENT_BUILDER!$H$7=4, SHIPMENT_BUILDER!$E$7, 0)</f>
        <v/>
      </c>
      <c r="I7" s="47">
        <f>IF(SHIPMENT_BUILDER!$H$7=5, SHIPMENT_BUILDER!$E$7, 0)</f>
        <v/>
      </c>
      <c r="J7" s="47">
        <f>IF(SHIPMENT_BUILDER!$H$7=6, SHIPMENT_BUILDER!$E$7, 0)</f>
        <v/>
      </c>
      <c r="K7" s="47">
        <f>IF(SHIPMENT_BUILDER!$H$7=7, SHIPMENT_BUILDER!$E$7, 0)</f>
        <v/>
      </c>
      <c r="L7" s="47">
        <f>IF(SHIPMENT_BUILDER!$H$7=8, SHIPMENT_BUILDER!$E$7, 0)</f>
        <v/>
      </c>
    </row>
    <row r="8">
      <c r="A8" s="9">
        <f>SHIPMENT_BUILDER!B8</f>
        <v/>
      </c>
      <c r="B8" s="9">
        <f>SHIPMENT_BUILDER!C8</f>
        <v/>
      </c>
      <c r="C8" s="5" t="inlineStr">
        <is>
          <t>Electroclean</t>
        </is>
      </c>
      <c r="D8" s="9">
        <f>SHIPMENT_BUILDER!E8</f>
        <v/>
      </c>
      <c r="E8" s="47">
        <f>IF(SHIPMENT_BUILDER!$H$8=1, SHIPMENT_BUILDER!$E$8, 0)</f>
        <v/>
      </c>
      <c r="F8" s="47">
        <f>IF(SHIPMENT_BUILDER!$H$8=2, SHIPMENT_BUILDER!$E$8, 0)</f>
        <v/>
      </c>
      <c r="G8" s="47">
        <f>IF(SHIPMENT_BUILDER!$H$8=3, SHIPMENT_BUILDER!$E$8, 0)</f>
        <v/>
      </c>
      <c r="H8" s="47">
        <f>IF(SHIPMENT_BUILDER!$H$8=4, SHIPMENT_BUILDER!$E$8, 0)</f>
        <v/>
      </c>
      <c r="I8" s="47">
        <f>IF(SHIPMENT_BUILDER!$H$8=5, SHIPMENT_BUILDER!$E$8, 0)</f>
        <v/>
      </c>
      <c r="J8" s="47">
        <f>IF(SHIPMENT_BUILDER!$H$8=6, SHIPMENT_BUILDER!$E$8, 0)</f>
        <v/>
      </c>
      <c r="K8" s="47">
        <f>IF(SHIPMENT_BUILDER!$H$8=7, SHIPMENT_BUILDER!$E$8, 0)</f>
        <v/>
      </c>
      <c r="L8" s="47">
        <f>IF(SHIPMENT_BUILDER!$H$8=8, SHIPMENT_BUILDER!$E$8, 0)</f>
        <v/>
      </c>
    </row>
    <row r="9">
      <c r="A9" s="9">
        <f>SHIPMENT_BUILDER!B9</f>
        <v/>
      </c>
      <c r="B9" s="9">
        <f>SHIPMENT_BUILDER!C9</f>
        <v/>
      </c>
      <c r="C9" s="5" t="inlineStr">
        <is>
          <t>Electroclean</t>
        </is>
      </c>
      <c r="D9" s="9">
        <f>SHIPMENT_BUILDER!E9</f>
        <v/>
      </c>
      <c r="E9" s="47">
        <f>IF(SHIPMENT_BUILDER!$H$9=1, SHIPMENT_BUILDER!$E$9, 0)</f>
        <v/>
      </c>
      <c r="F9" s="47">
        <f>IF(SHIPMENT_BUILDER!$H$9=2, SHIPMENT_BUILDER!$E$9, 0)</f>
        <v/>
      </c>
      <c r="G9" s="47">
        <f>IF(SHIPMENT_BUILDER!$H$9=3, SHIPMENT_BUILDER!$E$9, 0)</f>
        <v/>
      </c>
      <c r="H9" s="47">
        <f>IF(SHIPMENT_BUILDER!$H$9=4, SHIPMENT_BUILDER!$E$9, 0)</f>
        <v/>
      </c>
      <c r="I9" s="47">
        <f>IF(SHIPMENT_BUILDER!$H$9=5, SHIPMENT_BUILDER!$E$9, 0)</f>
        <v/>
      </c>
      <c r="J9" s="47">
        <f>IF(SHIPMENT_BUILDER!$H$9=6, SHIPMENT_BUILDER!$E$9, 0)</f>
        <v/>
      </c>
      <c r="K9" s="47">
        <f>IF(SHIPMENT_BUILDER!$H$9=7, SHIPMENT_BUILDER!$E$9, 0)</f>
        <v/>
      </c>
      <c r="L9" s="47">
        <f>IF(SHIPMENT_BUILDER!$H$9=8, SHIPMENT_BUILDER!$E$9, 0)</f>
        <v/>
      </c>
    </row>
    <row r="10">
      <c r="A10" s="9">
        <f>SHIPMENT_BUILDER!B10</f>
        <v/>
      </c>
      <c r="B10" s="9">
        <f>SHIPMENT_BUILDER!C10</f>
        <v/>
      </c>
      <c r="C10" s="5" t="inlineStr">
        <is>
          <t>Electroclean</t>
        </is>
      </c>
      <c r="D10" s="9">
        <f>SHIPMENT_BUILDER!E10</f>
        <v/>
      </c>
      <c r="E10" s="47">
        <f>IF(SHIPMENT_BUILDER!$H$10=1, SHIPMENT_BUILDER!$E$10, 0)</f>
        <v/>
      </c>
      <c r="F10" s="47">
        <f>IF(SHIPMENT_BUILDER!$H$10=2, SHIPMENT_BUILDER!$E$10, 0)</f>
        <v/>
      </c>
      <c r="G10" s="47">
        <f>IF(SHIPMENT_BUILDER!$H$10=3, SHIPMENT_BUILDER!$E$10, 0)</f>
        <v/>
      </c>
      <c r="H10" s="47">
        <f>IF(SHIPMENT_BUILDER!$H$10=4, SHIPMENT_BUILDER!$E$10, 0)</f>
        <v/>
      </c>
      <c r="I10" s="47">
        <f>IF(SHIPMENT_BUILDER!$H$10=5, SHIPMENT_BUILDER!$E$10, 0)</f>
        <v/>
      </c>
      <c r="J10" s="47">
        <f>IF(SHIPMENT_BUILDER!$H$10=6, SHIPMENT_BUILDER!$E$10, 0)</f>
        <v/>
      </c>
      <c r="K10" s="47">
        <f>IF(SHIPMENT_BUILDER!$H$10=7, SHIPMENT_BUILDER!$E$10, 0)</f>
        <v/>
      </c>
      <c r="L10" s="47">
        <f>IF(SHIPMENT_BUILDER!$H$10=8, SHIPMENT_BUILDER!$E$10, 0)</f>
        <v/>
      </c>
    </row>
    <row r="11">
      <c r="A11" s="9">
        <f>SHIPMENT_BUILDER!B11</f>
        <v/>
      </c>
      <c r="B11" s="9">
        <f>SHIPMENT_BUILDER!C11</f>
        <v/>
      </c>
      <c r="C11" s="5" t="inlineStr">
        <is>
          <t>Electroclean</t>
        </is>
      </c>
      <c r="D11" s="9">
        <f>SHIPMENT_BUILDER!E11</f>
        <v/>
      </c>
      <c r="E11" s="47">
        <f>IF(SHIPMENT_BUILDER!$H$11=1, SHIPMENT_BUILDER!$E$11, 0)</f>
        <v/>
      </c>
      <c r="F11" s="47">
        <f>IF(SHIPMENT_BUILDER!$H$11=2, SHIPMENT_BUILDER!$E$11, 0)</f>
        <v/>
      </c>
      <c r="G11" s="47">
        <f>IF(SHIPMENT_BUILDER!$H$11=3, SHIPMENT_BUILDER!$E$11, 0)</f>
        <v/>
      </c>
      <c r="H11" s="47">
        <f>IF(SHIPMENT_BUILDER!$H$11=4, SHIPMENT_BUILDER!$E$11, 0)</f>
        <v/>
      </c>
      <c r="I11" s="47">
        <f>IF(SHIPMENT_BUILDER!$H$11=5, SHIPMENT_BUILDER!$E$11, 0)</f>
        <v/>
      </c>
      <c r="J11" s="47">
        <f>IF(SHIPMENT_BUILDER!$H$11=6, SHIPMENT_BUILDER!$E$11, 0)</f>
        <v/>
      </c>
      <c r="K11" s="47">
        <f>IF(SHIPMENT_BUILDER!$H$11=7, SHIPMENT_BUILDER!$E$11, 0)</f>
        <v/>
      </c>
      <c r="L11" s="47">
        <f>IF(SHIPMENT_BUILDER!$H$11=8, SHIPMENT_BUILDER!$E$11, 0)</f>
        <v/>
      </c>
    </row>
    <row r="12">
      <c r="A12" s="9">
        <f>SHIPMENT_BUILDER!B12</f>
        <v/>
      </c>
      <c r="B12" s="9">
        <f>SHIPMENT_BUILDER!C12</f>
        <v/>
      </c>
      <c r="C12" s="5" t="inlineStr">
        <is>
          <t>Electroclean</t>
        </is>
      </c>
      <c r="D12" s="9">
        <f>SHIPMENT_BUILDER!E12</f>
        <v/>
      </c>
      <c r="E12" s="47">
        <f>IF(SHIPMENT_BUILDER!$H$12=1, SHIPMENT_BUILDER!$E$12, 0)</f>
        <v/>
      </c>
      <c r="F12" s="47">
        <f>IF(SHIPMENT_BUILDER!$H$12=2, SHIPMENT_BUILDER!$E$12, 0)</f>
        <v/>
      </c>
      <c r="G12" s="47">
        <f>IF(SHIPMENT_BUILDER!$H$12=3, SHIPMENT_BUILDER!$E$12, 0)</f>
        <v/>
      </c>
      <c r="H12" s="47">
        <f>IF(SHIPMENT_BUILDER!$H$12=4, SHIPMENT_BUILDER!$E$12, 0)</f>
        <v/>
      </c>
      <c r="I12" s="47">
        <f>IF(SHIPMENT_BUILDER!$H$12=5, SHIPMENT_BUILDER!$E$12, 0)</f>
        <v/>
      </c>
      <c r="J12" s="47">
        <f>IF(SHIPMENT_BUILDER!$H$12=6, SHIPMENT_BUILDER!$E$12, 0)</f>
        <v/>
      </c>
      <c r="K12" s="47">
        <f>IF(SHIPMENT_BUILDER!$H$12=7, SHIPMENT_BUILDER!$E$12, 0)</f>
        <v/>
      </c>
      <c r="L12" s="47">
        <f>IF(SHIPMENT_BUILDER!$H$12=8, SHIPMENT_BUILDER!$E$12, 0)</f>
        <v/>
      </c>
    </row>
    <row r="13">
      <c r="A13" s="9">
        <f>SHIPMENT_BUILDER!B13</f>
        <v/>
      </c>
      <c r="B13" s="9">
        <f>SHIPMENT_BUILDER!C13</f>
        <v/>
      </c>
      <c r="C13" s="5" t="inlineStr">
        <is>
          <t>Electroclean</t>
        </is>
      </c>
      <c r="D13" s="9">
        <f>SHIPMENT_BUILDER!E13</f>
        <v/>
      </c>
      <c r="E13" s="47">
        <f>IF(SHIPMENT_BUILDER!$H$13=1, SHIPMENT_BUILDER!$E$13, 0)</f>
        <v/>
      </c>
      <c r="F13" s="47">
        <f>IF(SHIPMENT_BUILDER!$H$13=2, SHIPMENT_BUILDER!$E$13, 0)</f>
        <v/>
      </c>
      <c r="G13" s="47">
        <f>IF(SHIPMENT_BUILDER!$H$13=3, SHIPMENT_BUILDER!$E$13, 0)</f>
        <v/>
      </c>
      <c r="H13" s="47">
        <f>IF(SHIPMENT_BUILDER!$H$13=4, SHIPMENT_BUILDER!$E$13, 0)</f>
        <v/>
      </c>
      <c r="I13" s="47">
        <f>IF(SHIPMENT_BUILDER!$H$13=5, SHIPMENT_BUILDER!$E$13, 0)</f>
        <v/>
      </c>
      <c r="J13" s="47">
        <f>IF(SHIPMENT_BUILDER!$H$13=6, SHIPMENT_BUILDER!$E$13, 0)</f>
        <v/>
      </c>
      <c r="K13" s="47">
        <f>IF(SHIPMENT_BUILDER!$H$13=7, SHIPMENT_BUILDER!$E$13, 0)</f>
        <v/>
      </c>
      <c r="L13" s="47">
        <f>IF(SHIPMENT_BUILDER!$H$13=8, SHIPMENT_BUILDER!$E$13, 0)</f>
        <v/>
      </c>
    </row>
    <row r="14">
      <c r="A14" s="9">
        <f>SHIPMENT_BUILDER!B14</f>
        <v/>
      </c>
      <c r="B14" s="9">
        <f>SHIPMENT_BUILDER!C14</f>
        <v/>
      </c>
      <c r="C14" s="5" t="inlineStr">
        <is>
          <t>Electroclean</t>
        </is>
      </c>
      <c r="D14" s="9">
        <f>SHIPMENT_BUILDER!E14</f>
        <v/>
      </c>
      <c r="E14" s="47">
        <f>IF(SHIPMENT_BUILDER!$H$14=1, SHIPMENT_BUILDER!$E$14, 0)</f>
        <v/>
      </c>
      <c r="F14" s="47">
        <f>IF(SHIPMENT_BUILDER!$H$14=2, SHIPMENT_BUILDER!$E$14, 0)</f>
        <v/>
      </c>
      <c r="G14" s="47">
        <f>IF(SHIPMENT_BUILDER!$H$14=3, SHIPMENT_BUILDER!$E$14, 0)</f>
        <v/>
      </c>
      <c r="H14" s="47">
        <f>IF(SHIPMENT_BUILDER!$H$14=4, SHIPMENT_BUILDER!$E$14, 0)</f>
        <v/>
      </c>
      <c r="I14" s="47">
        <f>IF(SHIPMENT_BUILDER!$H$14=5, SHIPMENT_BUILDER!$E$14, 0)</f>
        <v/>
      </c>
      <c r="J14" s="47">
        <f>IF(SHIPMENT_BUILDER!$H$14=6, SHIPMENT_BUILDER!$E$14, 0)</f>
        <v/>
      </c>
      <c r="K14" s="47">
        <f>IF(SHIPMENT_BUILDER!$H$14=7, SHIPMENT_BUILDER!$E$14, 0)</f>
        <v/>
      </c>
      <c r="L14" s="47">
        <f>IF(SHIPMENT_BUILDER!$H$14=8, SHIPMENT_BUILDER!$E$14, 0)</f>
        <v/>
      </c>
    </row>
    <row r="15">
      <c r="A15" s="9">
        <f>SHIPMENT_BUILDER!B15</f>
        <v/>
      </c>
      <c r="B15" s="9">
        <f>SHIPMENT_BUILDER!C15</f>
        <v/>
      </c>
      <c r="C15" s="5" t="inlineStr">
        <is>
          <t>Electroclean</t>
        </is>
      </c>
      <c r="D15" s="9">
        <f>SHIPMENT_BUILDER!E15</f>
        <v/>
      </c>
      <c r="E15" s="47">
        <f>IF(SHIPMENT_BUILDER!$H$15=1, SHIPMENT_BUILDER!$E$15, 0)</f>
        <v/>
      </c>
      <c r="F15" s="47">
        <f>IF(SHIPMENT_BUILDER!$H$15=2, SHIPMENT_BUILDER!$E$15, 0)</f>
        <v/>
      </c>
      <c r="G15" s="47">
        <f>IF(SHIPMENT_BUILDER!$H$15=3, SHIPMENT_BUILDER!$E$15, 0)</f>
        <v/>
      </c>
      <c r="H15" s="47">
        <f>IF(SHIPMENT_BUILDER!$H$15=4, SHIPMENT_BUILDER!$E$15, 0)</f>
        <v/>
      </c>
      <c r="I15" s="47">
        <f>IF(SHIPMENT_BUILDER!$H$15=5, SHIPMENT_BUILDER!$E$15, 0)</f>
        <v/>
      </c>
      <c r="J15" s="47">
        <f>IF(SHIPMENT_BUILDER!$H$15=6, SHIPMENT_BUILDER!$E$15, 0)</f>
        <v/>
      </c>
      <c r="K15" s="47">
        <f>IF(SHIPMENT_BUILDER!$H$15=7, SHIPMENT_BUILDER!$E$15, 0)</f>
        <v/>
      </c>
      <c r="L15" s="47">
        <f>IF(SHIPMENT_BUILDER!$H$15=8, SHIPMENT_BUILDER!$E$15, 0)</f>
        <v/>
      </c>
    </row>
    <row r="16">
      <c r="A16" s="9">
        <f>SHIPMENT_BUILDER!B16</f>
        <v/>
      </c>
      <c r="B16" s="9">
        <f>SHIPMENT_BUILDER!C16</f>
        <v/>
      </c>
      <c r="C16" s="5" t="inlineStr">
        <is>
          <t>Electroclean</t>
        </is>
      </c>
      <c r="D16" s="9">
        <f>SHIPMENT_BUILDER!E16</f>
        <v/>
      </c>
      <c r="E16" s="47">
        <f>IF(SHIPMENT_BUILDER!$H$16=1, SHIPMENT_BUILDER!$E$16, 0)</f>
        <v/>
      </c>
      <c r="F16" s="47">
        <f>IF(SHIPMENT_BUILDER!$H$16=2, SHIPMENT_BUILDER!$E$16, 0)</f>
        <v/>
      </c>
      <c r="G16" s="47">
        <f>IF(SHIPMENT_BUILDER!$H$16=3, SHIPMENT_BUILDER!$E$16, 0)</f>
        <v/>
      </c>
      <c r="H16" s="47">
        <f>IF(SHIPMENT_BUILDER!$H$16=4, SHIPMENT_BUILDER!$E$16, 0)</f>
        <v/>
      </c>
      <c r="I16" s="47">
        <f>IF(SHIPMENT_BUILDER!$H$16=5, SHIPMENT_BUILDER!$E$16, 0)</f>
        <v/>
      </c>
      <c r="J16" s="47">
        <f>IF(SHIPMENT_BUILDER!$H$16=6, SHIPMENT_BUILDER!$E$16, 0)</f>
        <v/>
      </c>
      <c r="K16" s="47">
        <f>IF(SHIPMENT_BUILDER!$H$16=7, SHIPMENT_BUILDER!$E$16, 0)</f>
        <v/>
      </c>
      <c r="L16" s="47">
        <f>IF(SHIPMENT_BUILDER!$H$16=8, SHIPMENT_BUILDER!$E$16, 0)</f>
        <v/>
      </c>
    </row>
    <row r="17">
      <c r="A17" s="9">
        <f>SHIPMENT_BUILDER!B17</f>
        <v/>
      </c>
      <c r="B17" s="9">
        <f>SHIPMENT_BUILDER!C17</f>
        <v/>
      </c>
      <c r="C17" s="5" t="inlineStr">
        <is>
          <t>Electroclean</t>
        </is>
      </c>
      <c r="D17" s="9">
        <f>SHIPMENT_BUILDER!E17</f>
        <v/>
      </c>
      <c r="E17" s="47">
        <f>IF(SHIPMENT_BUILDER!$H$17=1, SHIPMENT_BUILDER!$E$17, 0)</f>
        <v/>
      </c>
      <c r="F17" s="47">
        <f>IF(SHIPMENT_BUILDER!$H$17=2, SHIPMENT_BUILDER!$E$17, 0)</f>
        <v/>
      </c>
      <c r="G17" s="47">
        <f>IF(SHIPMENT_BUILDER!$H$17=3, SHIPMENT_BUILDER!$E$17, 0)</f>
        <v/>
      </c>
      <c r="H17" s="47">
        <f>IF(SHIPMENT_BUILDER!$H$17=4, SHIPMENT_BUILDER!$E$17, 0)</f>
        <v/>
      </c>
      <c r="I17" s="47">
        <f>IF(SHIPMENT_BUILDER!$H$17=5, SHIPMENT_BUILDER!$E$17, 0)</f>
        <v/>
      </c>
      <c r="J17" s="47">
        <f>IF(SHIPMENT_BUILDER!$H$17=6, SHIPMENT_BUILDER!$E$17, 0)</f>
        <v/>
      </c>
      <c r="K17" s="47">
        <f>IF(SHIPMENT_BUILDER!$H$17=7, SHIPMENT_BUILDER!$E$17, 0)</f>
        <v/>
      </c>
      <c r="L17" s="47">
        <f>IF(SHIPMENT_BUILDER!$H$17=8, SHIPMENT_BUILDER!$E$17, 0)</f>
        <v/>
      </c>
    </row>
    <row r="18">
      <c r="A18" s="9">
        <f>SHIPMENT_BUILDER!B18</f>
        <v/>
      </c>
      <c r="B18" s="9">
        <f>SHIPMENT_BUILDER!C18</f>
        <v/>
      </c>
      <c r="C18" s="5" t="inlineStr">
        <is>
          <t>Electroclean</t>
        </is>
      </c>
      <c r="D18" s="9">
        <f>SHIPMENT_BUILDER!E18</f>
        <v/>
      </c>
      <c r="E18" s="47">
        <f>IF(SHIPMENT_BUILDER!$H$18=1, SHIPMENT_BUILDER!$E$18, 0)</f>
        <v/>
      </c>
      <c r="F18" s="47">
        <f>IF(SHIPMENT_BUILDER!$H$18=2, SHIPMENT_BUILDER!$E$18, 0)</f>
        <v/>
      </c>
      <c r="G18" s="47">
        <f>IF(SHIPMENT_BUILDER!$H$18=3, SHIPMENT_BUILDER!$E$18, 0)</f>
        <v/>
      </c>
      <c r="H18" s="47">
        <f>IF(SHIPMENT_BUILDER!$H$18=4, SHIPMENT_BUILDER!$E$18, 0)</f>
        <v/>
      </c>
      <c r="I18" s="47">
        <f>IF(SHIPMENT_BUILDER!$H$18=5, SHIPMENT_BUILDER!$E$18, 0)</f>
        <v/>
      </c>
      <c r="J18" s="47">
        <f>IF(SHIPMENT_BUILDER!$H$18=6, SHIPMENT_BUILDER!$E$18, 0)</f>
        <v/>
      </c>
      <c r="K18" s="47">
        <f>IF(SHIPMENT_BUILDER!$H$18=7, SHIPMENT_BUILDER!$E$18, 0)</f>
        <v/>
      </c>
      <c r="L18" s="47">
        <f>IF(SHIPMENT_BUILDER!$H$18=8, SHIPMENT_BUILDER!$E$18, 0)</f>
        <v/>
      </c>
    </row>
    <row r="19">
      <c r="A19" s="9">
        <f>SHIPMENT_BUILDER!B19</f>
        <v/>
      </c>
      <c r="B19" s="9">
        <f>SHIPMENT_BUILDER!C19</f>
        <v/>
      </c>
      <c r="C19" s="5" t="inlineStr">
        <is>
          <t>Electroclean</t>
        </is>
      </c>
      <c r="D19" s="9">
        <f>SHIPMENT_BUILDER!E19</f>
        <v/>
      </c>
      <c r="E19" s="47">
        <f>IF(SHIPMENT_BUILDER!$H$19=1, SHIPMENT_BUILDER!$E$19, 0)</f>
        <v/>
      </c>
      <c r="F19" s="47">
        <f>IF(SHIPMENT_BUILDER!$H$19=2, SHIPMENT_BUILDER!$E$19, 0)</f>
        <v/>
      </c>
      <c r="G19" s="47">
        <f>IF(SHIPMENT_BUILDER!$H$19=3, SHIPMENT_BUILDER!$E$19, 0)</f>
        <v/>
      </c>
      <c r="H19" s="47">
        <f>IF(SHIPMENT_BUILDER!$H$19=4, SHIPMENT_BUILDER!$E$19, 0)</f>
        <v/>
      </c>
      <c r="I19" s="47">
        <f>IF(SHIPMENT_BUILDER!$H$19=5, SHIPMENT_BUILDER!$E$19, 0)</f>
        <v/>
      </c>
      <c r="J19" s="47">
        <f>IF(SHIPMENT_BUILDER!$H$19=6, SHIPMENT_BUILDER!$E$19, 0)</f>
        <v/>
      </c>
      <c r="K19" s="47">
        <f>IF(SHIPMENT_BUILDER!$H$19=7, SHIPMENT_BUILDER!$E$19, 0)</f>
        <v/>
      </c>
      <c r="L19" s="47">
        <f>IF(SHIPMENT_BUILDER!$H$19=8, SHIPMENT_BUILDER!$E$19, 0)</f>
        <v/>
      </c>
    </row>
    <row r="20">
      <c r="A20" s="9">
        <f>SHIPMENT_BUILDER!B20</f>
        <v/>
      </c>
      <c r="B20" s="9">
        <f>SHIPMENT_BUILDER!C20</f>
        <v/>
      </c>
      <c r="C20" s="5" t="inlineStr">
        <is>
          <t>Electroclean</t>
        </is>
      </c>
      <c r="D20" s="9">
        <f>SHIPMENT_BUILDER!E20</f>
        <v/>
      </c>
      <c r="E20" s="47">
        <f>IF(SHIPMENT_BUILDER!$H$20=1, SHIPMENT_BUILDER!$E$20, 0)</f>
        <v/>
      </c>
      <c r="F20" s="47">
        <f>IF(SHIPMENT_BUILDER!$H$20=2, SHIPMENT_BUILDER!$E$20, 0)</f>
        <v/>
      </c>
      <c r="G20" s="47">
        <f>IF(SHIPMENT_BUILDER!$H$20=3, SHIPMENT_BUILDER!$E$20, 0)</f>
        <v/>
      </c>
      <c r="H20" s="47">
        <f>IF(SHIPMENT_BUILDER!$H$20=4, SHIPMENT_BUILDER!$E$20, 0)</f>
        <v/>
      </c>
      <c r="I20" s="47">
        <f>IF(SHIPMENT_BUILDER!$H$20=5, SHIPMENT_BUILDER!$E$20, 0)</f>
        <v/>
      </c>
      <c r="J20" s="47">
        <f>IF(SHIPMENT_BUILDER!$H$20=6, SHIPMENT_BUILDER!$E$20, 0)</f>
        <v/>
      </c>
      <c r="K20" s="47">
        <f>IF(SHIPMENT_BUILDER!$H$20=7, SHIPMENT_BUILDER!$E$20, 0)</f>
        <v/>
      </c>
      <c r="L20" s="47">
        <f>IF(SHIPMENT_BUILDER!$H$20=8, SHIPMENT_BUILDER!$E$20, 0)</f>
        <v/>
      </c>
    </row>
    <row r="21">
      <c r="A21" s="9">
        <f>SHIPMENT_BUILDER!B21</f>
        <v/>
      </c>
      <c r="B21" s="9">
        <f>SHIPMENT_BUILDER!C21</f>
        <v/>
      </c>
      <c r="C21" s="5" t="inlineStr">
        <is>
          <t>Electroclean</t>
        </is>
      </c>
      <c r="D21" s="9">
        <f>SHIPMENT_BUILDER!E21</f>
        <v/>
      </c>
      <c r="E21" s="47">
        <f>IF(SHIPMENT_BUILDER!$H$21=1, SHIPMENT_BUILDER!$E$21, 0)</f>
        <v/>
      </c>
      <c r="F21" s="47">
        <f>IF(SHIPMENT_BUILDER!$H$21=2, SHIPMENT_BUILDER!$E$21, 0)</f>
        <v/>
      </c>
      <c r="G21" s="47">
        <f>IF(SHIPMENT_BUILDER!$H$21=3, SHIPMENT_BUILDER!$E$21, 0)</f>
        <v/>
      </c>
      <c r="H21" s="47">
        <f>IF(SHIPMENT_BUILDER!$H$21=4, SHIPMENT_BUILDER!$E$21, 0)</f>
        <v/>
      </c>
      <c r="I21" s="47">
        <f>IF(SHIPMENT_BUILDER!$H$21=5, SHIPMENT_BUILDER!$E$21, 0)</f>
        <v/>
      </c>
      <c r="J21" s="47">
        <f>IF(SHIPMENT_BUILDER!$H$21=6, SHIPMENT_BUILDER!$E$21, 0)</f>
        <v/>
      </c>
      <c r="K21" s="47">
        <f>IF(SHIPMENT_BUILDER!$H$21=7, SHIPMENT_BUILDER!$E$21, 0)</f>
        <v/>
      </c>
      <c r="L21" s="47">
        <f>IF(SHIPMENT_BUILDER!$H$21=8, SHIPMENT_BUILDER!$E$21, 0)</f>
        <v/>
      </c>
    </row>
    <row r="22">
      <c r="A22" s="9">
        <f>SHIPMENT_BUILDER!B22</f>
        <v/>
      </c>
      <c r="B22" s="9">
        <f>SHIPMENT_BUILDER!C22</f>
        <v/>
      </c>
      <c r="C22" s="5" t="inlineStr">
        <is>
          <t>Electroclean</t>
        </is>
      </c>
      <c r="D22" s="9">
        <f>SHIPMENT_BUILDER!E22</f>
        <v/>
      </c>
      <c r="E22" s="47">
        <f>IF(SHIPMENT_BUILDER!$H$22=1, SHIPMENT_BUILDER!$E$22, 0)</f>
        <v/>
      </c>
      <c r="F22" s="47">
        <f>IF(SHIPMENT_BUILDER!$H$22=2, SHIPMENT_BUILDER!$E$22, 0)</f>
        <v/>
      </c>
      <c r="G22" s="47">
        <f>IF(SHIPMENT_BUILDER!$H$22=3, SHIPMENT_BUILDER!$E$22, 0)</f>
        <v/>
      </c>
      <c r="H22" s="47">
        <f>IF(SHIPMENT_BUILDER!$H$22=4, SHIPMENT_BUILDER!$E$22, 0)</f>
        <v/>
      </c>
      <c r="I22" s="47">
        <f>IF(SHIPMENT_BUILDER!$H$22=5, SHIPMENT_BUILDER!$E$22, 0)</f>
        <v/>
      </c>
      <c r="J22" s="47">
        <f>IF(SHIPMENT_BUILDER!$H$22=6, SHIPMENT_BUILDER!$E$22, 0)</f>
        <v/>
      </c>
      <c r="K22" s="47">
        <f>IF(SHIPMENT_BUILDER!$H$22=7, SHIPMENT_BUILDER!$E$22, 0)</f>
        <v/>
      </c>
      <c r="L22" s="47">
        <f>IF(SHIPMENT_BUILDER!$H$22=8, SHIPMENT_BUILDER!$E$22, 0)</f>
        <v/>
      </c>
    </row>
    <row r="23">
      <c r="A23" s="9">
        <f>SHIPMENT_BUILDER!B23</f>
        <v/>
      </c>
      <c r="B23" s="9">
        <f>SHIPMENT_BUILDER!C23</f>
        <v/>
      </c>
      <c r="C23" s="5" t="inlineStr">
        <is>
          <t>Electroclean</t>
        </is>
      </c>
      <c r="D23" s="9">
        <f>SHIPMENT_BUILDER!E23</f>
        <v/>
      </c>
      <c r="E23" s="47">
        <f>IF(SHIPMENT_BUILDER!$H$23=1, SHIPMENT_BUILDER!$E$23, 0)</f>
        <v/>
      </c>
      <c r="F23" s="47">
        <f>IF(SHIPMENT_BUILDER!$H$23=2, SHIPMENT_BUILDER!$E$23, 0)</f>
        <v/>
      </c>
      <c r="G23" s="47">
        <f>IF(SHIPMENT_BUILDER!$H$23=3, SHIPMENT_BUILDER!$E$23, 0)</f>
        <v/>
      </c>
      <c r="H23" s="47">
        <f>IF(SHIPMENT_BUILDER!$H$23=4, SHIPMENT_BUILDER!$E$23, 0)</f>
        <v/>
      </c>
      <c r="I23" s="47">
        <f>IF(SHIPMENT_BUILDER!$H$23=5, SHIPMENT_BUILDER!$E$23, 0)</f>
        <v/>
      </c>
      <c r="J23" s="47">
        <f>IF(SHIPMENT_BUILDER!$H$23=6, SHIPMENT_BUILDER!$E$23, 0)</f>
        <v/>
      </c>
      <c r="K23" s="47">
        <f>IF(SHIPMENT_BUILDER!$H$23=7, SHIPMENT_BUILDER!$E$23, 0)</f>
        <v/>
      </c>
      <c r="L23" s="47">
        <f>IF(SHIPMENT_BUILDER!$H$23=8, SHIPMENT_BUILDER!$E$23, 0)</f>
        <v/>
      </c>
    </row>
    <row r="24">
      <c r="A24" s="9">
        <f>SHIPMENT_BUILDER!B24</f>
        <v/>
      </c>
      <c r="B24" s="9">
        <f>SHIPMENT_BUILDER!C24</f>
        <v/>
      </c>
      <c r="C24" s="5" t="inlineStr">
        <is>
          <t>Electroclean</t>
        </is>
      </c>
      <c r="D24" s="9">
        <f>SHIPMENT_BUILDER!E24</f>
        <v/>
      </c>
      <c r="E24" s="47">
        <f>IF(SHIPMENT_BUILDER!$H$24=1, SHIPMENT_BUILDER!$E$24, 0)</f>
        <v/>
      </c>
      <c r="F24" s="47">
        <f>IF(SHIPMENT_BUILDER!$H$24=2, SHIPMENT_BUILDER!$E$24, 0)</f>
        <v/>
      </c>
      <c r="G24" s="47">
        <f>IF(SHIPMENT_BUILDER!$H$24=3, SHIPMENT_BUILDER!$E$24, 0)</f>
        <v/>
      </c>
      <c r="H24" s="47">
        <f>IF(SHIPMENT_BUILDER!$H$24=4, SHIPMENT_BUILDER!$E$24, 0)</f>
        <v/>
      </c>
      <c r="I24" s="47">
        <f>IF(SHIPMENT_BUILDER!$H$24=5, SHIPMENT_BUILDER!$E$24, 0)</f>
        <v/>
      </c>
      <c r="J24" s="47">
        <f>IF(SHIPMENT_BUILDER!$H$24=6, SHIPMENT_BUILDER!$E$24, 0)</f>
        <v/>
      </c>
      <c r="K24" s="47">
        <f>IF(SHIPMENT_BUILDER!$H$24=7, SHIPMENT_BUILDER!$E$24, 0)</f>
        <v/>
      </c>
      <c r="L24" s="47">
        <f>IF(SHIPMENT_BUILDER!$H$24=8, SHIPMENT_BUILDER!$E$24, 0)</f>
        <v/>
      </c>
    </row>
    <row r="25">
      <c r="A25" s="9">
        <f>SHIPMENT_BUILDER!B25</f>
        <v/>
      </c>
      <c r="B25" s="9">
        <f>SHIPMENT_BUILDER!C25</f>
        <v/>
      </c>
      <c r="C25" s="5" t="inlineStr">
        <is>
          <t>Electroclean</t>
        </is>
      </c>
      <c r="D25" s="9">
        <f>SHIPMENT_BUILDER!E25</f>
        <v/>
      </c>
      <c r="E25" s="47">
        <f>IF(SHIPMENT_BUILDER!$H$25=1, SHIPMENT_BUILDER!$E$25, 0)</f>
        <v/>
      </c>
      <c r="F25" s="47">
        <f>IF(SHIPMENT_BUILDER!$H$25=2, SHIPMENT_BUILDER!$E$25, 0)</f>
        <v/>
      </c>
      <c r="G25" s="47">
        <f>IF(SHIPMENT_BUILDER!$H$25=3, SHIPMENT_BUILDER!$E$25, 0)</f>
        <v/>
      </c>
      <c r="H25" s="47">
        <f>IF(SHIPMENT_BUILDER!$H$25=4, SHIPMENT_BUILDER!$E$25, 0)</f>
        <v/>
      </c>
      <c r="I25" s="47">
        <f>IF(SHIPMENT_BUILDER!$H$25=5, SHIPMENT_BUILDER!$E$25, 0)</f>
        <v/>
      </c>
      <c r="J25" s="47">
        <f>IF(SHIPMENT_BUILDER!$H$25=6, SHIPMENT_BUILDER!$E$25, 0)</f>
        <v/>
      </c>
      <c r="K25" s="47">
        <f>IF(SHIPMENT_BUILDER!$H$25=7, SHIPMENT_BUILDER!$E$25, 0)</f>
        <v/>
      </c>
      <c r="L25" s="47">
        <f>IF(SHIPMENT_BUILDER!$H$25=8, SHIPMENT_BUILDER!$E$25,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2025-12-31T10:51:33Z</dcterms:created>
  <dcterms:modified xsi:type="dcterms:W3CDTF">2025-12-31T10:51:33Z</dcterms:modified>
</cp:coreProperties>
</file>