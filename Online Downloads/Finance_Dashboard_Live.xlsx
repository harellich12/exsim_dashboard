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iese365-my.sharepoint.com/personal/harel_lichtenstein_iese_net/Documents/Desktop/AI Tests/EXSIM models/Online Downloads/"/>
    </mc:Choice>
  </mc:AlternateContent>
  <xr:revisionPtr revIDLastSave="1" documentId="11_BB9F88928F62C38F45EB061F20BFB223651B5EE0" xr6:coauthVersionLast="47" xr6:coauthVersionMax="47" xr10:uidLastSave="{421E27FD-47ED-45FC-A3E4-0861AD281E7A}"/>
  <bookViews>
    <workbookView xWindow="21285" yWindow="1200" windowWidth="26400" windowHeight="18030" xr2:uid="{00000000-000D-0000-FFFF-FFFF00000000}"/>
  </bookViews>
  <sheets>
    <sheet name="LIQUIDITY_MONITOR" sheetId="1" r:id="rId1"/>
    <sheet name="PROFIT_CONTROL" sheetId="2" r:id="rId2"/>
    <sheet name="BALANCE_SHEET_HEALTH" sheetId="3" r:id="rId3"/>
    <sheet name="DEBT_MANAGER" sheetId="4" r:id="rId4"/>
    <sheet name="UPLOAD_READY_FINANCE" sheetId="5" r:id="rId5"/>
    <sheet name="CROSS_REFERENCE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" i="5" l="1"/>
  <c r="H22" i="5"/>
  <c r="G22" i="5"/>
  <c r="F22" i="5"/>
  <c r="E22" i="5"/>
  <c r="D22" i="5"/>
  <c r="C22" i="5"/>
  <c r="B22" i="5"/>
  <c r="D18" i="5"/>
  <c r="C18" i="5"/>
  <c r="B18" i="5"/>
  <c r="D17" i="5"/>
  <c r="C17" i="5"/>
  <c r="B17" i="5"/>
  <c r="D16" i="5"/>
  <c r="C16" i="5"/>
  <c r="B16" i="5"/>
  <c r="I11" i="5"/>
  <c r="H11" i="5"/>
  <c r="G11" i="5"/>
  <c r="F11" i="5"/>
  <c r="E11" i="5"/>
  <c r="D11" i="5"/>
  <c r="C11" i="5"/>
  <c r="B11" i="5"/>
  <c r="I6" i="5"/>
  <c r="H6" i="5"/>
  <c r="G6" i="5"/>
  <c r="F6" i="5"/>
  <c r="E6" i="5"/>
  <c r="D6" i="5"/>
  <c r="C6" i="5"/>
  <c r="B6" i="5"/>
  <c r="B16" i="4"/>
  <c r="F10" i="4"/>
  <c r="B10" i="4"/>
  <c r="F8" i="4"/>
  <c r="F7" i="4"/>
  <c r="F6" i="4"/>
  <c r="B23" i="3"/>
  <c r="B17" i="3"/>
  <c r="B19" i="3" s="1"/>
  <c r="B13" i="3"/>
  <c r="I13" i="3" s="1"/>
  <c r="D15" i="2"/>
  <c r="D14" i="2"/>
  <c r="C13" i="2"/>
  <c r="C17" i="2" s="1"/>
  <c r="D12" i="2"/>
  <c r="C12" i="2"/>
  <c r="D11" i="2"/>
  <c r="B33" i="1"/>
  <c r="B34" i="1" s="1"/>
  <c r="I32" i="1"/>
  <c r="H32" i="1"/>
  <c r="G32" i="1"/>
  <c r="F32" i="1"/>
  <c r="E32" i="1"/>
  <c r="D32" i="1"/>
  <c r="C32" i="1"/>
  <c r="B32" i="1"/>
  <c r="B26" i="1"/>
  <c r="C26" i="1" s="1"/>
  <c r="D26" i="1" s="1"/>
  <c r="E26" i="1" s="1"/>
  <c r="F26" i="1" s="1"/>
  <c r="G26" i="1" s="1"/>
  <c r="H26" i="1" s="1"/>
  <c r="I26" i="1" s="1"/>
  <c r="B15" i="1"/>
  <c r="D17" i="2" l="1"/>
  <c r="B20" i="2"/>
  <c r="B21" i="2" s="1"/>
  <c r="B22" i="3"/>
  <c r="I14" i="3"/>
  <c r="C15" i="1"/>
  <c r="C33" i="1" s="1"/>
  <c r="D13" i="2"/>
  <c r="D15" i="1" l="1"/>
  <c r="D33" i="1" s="1"/>
  <c r="C34" i="1"/>
  <c r="D34" i="1" l="1"/>
  <c r="E15" i="1"/>
  <c r="E33" i="1" s="1"/>
  <c r="F15" i="1" l="1"/>
  <c r="F33" i="1" s="1"/>
  <c r="E34" i="1"/>
  <c r="G15" i="1" l="1"/>
  <c r="G33" i="1" s="1"/>
  <c r="F34" i="1"/>
  <c r="H15" i="1" l="1"/>
  <c r="H33" i="1" s="1"/>
  <c r="G34" i="1"/>
  <c r="I15" i="1" l="1"/>
  <c r="I33" i="1" s="1"/>
  <c r="I34" i="1" s="1"/>
  <c r="H34" i="1"/>
</calcChain>
</file>

<file path=xl/sharedStrings.xml><?xml version="1.0" encoding="utf-8"?>
<sst xmlns="http://schemas.openxmlformats.org/spreadsheetml/2006/main" count="141" uniqueCount="119">
  <si>
    <t>LIQUIDITY MONITOR - Cash Flow Engine</t>
  </si>
  <si>
    <t>SECTION A: INITIALIZATION (Initial Cash Flow Bridge)</t>
  </si>
  <si>
    <t>Cash at End of Last Period</t>
  </si>
  <si>
    <t>Less: Tax Payments</t>
  </si>
  <si>
    <t>Less: Dividend Payments</t>
  </si>
  <si>
    <t>Less: Asset Purchases</t>
  </si>
  <si>
    <t>STARTING CASH FOR FN1 (HARD)</t>
  </si>
  <si>
    <t>← From initial_cash_flow.xlsx</t>
  </si>
  <si>
    <t>SECTION B: OPERATIONAL CASH FLOW</t>
  </si>
  <si>
    <t>Item</t>
  </si>
  <si>
    <t>FN1</t>
  </si>
  <si>
    <t>FN2</t>
  </si>
  <si>
    <t>FN3</t>
  </si>
  <si>
    <t>FN4</t>
  </si>
  <si>
    <t>FN5</t>
  </si>
  <si>
    <t>FN6</t>
  </si>
  <si>
    <t>FN7</t>
  </si>
  <si>
    <t>FN8</t>
  </si>
  <si>
    <t>Opening Cash</t>
  </si>
  <si>
    <t>Sales Receipts (Est.)</t>
  </si>
  <si>
    <t>Procurement Spend (Est.)</t>
  </si>
  <si>
    <t>Fixed Overhead (S&amp;A)</t>
  </si>
  <si>
    <t>Receivables (HARD)</t>
  </si>
  <si>
    <t>Payables (HARD)</t>
  </si>
  <si>
    <t>SECTION C: FINANCING DECISIONS</t>
  </si>
  <si>
    <t>DEBT CAPACITY (Short Term)</t>
  </si>
  <si>
    <t>Limit: $500,000</t>
  </si>
  <si>
    <t>Change in Credit Line (+/-)</t>
  </si>
  <si>
    <t>Proj. ST Debt Balance</t>
  </si>
  <si>
    <t>Change in Investments (+/-)</t>
  </si>
  <si>
    <t>New Mortgage Inflow</t>
  </si>
  <si>
    <t>Dividends Paid</t>
  </si>
  <si>
    <t>SECTION D: CASH BALANCE</t>
  </si>
  <si>
    <t>Net Cash Flow</t>
  </si>
  <si>
    <t>ENDING CASH BALANCE</t>
  </si>
  <si>
    <t>Solvency Check</t>
  </si>
  <si>
    <t>PROFIT CONTROL - Income Statement Forecast vs Actuals</t>
  </si>
  <si>
    <t>HISTORICAL MARGINS (From results_and_balance_statements)</t>
  </si>
  <si>
    <t>Historical Gross Margin %</t>
  </si>
  <si>
    <t>Historical Net Margin %</t>
  </si>
  <si>
    <t>INCOME STATEMENT COMPARISON</t>
  </si>
  <si>
    <t>Line Item</t>
  </si>
  <si>
    <t>Last Round Actuals</t>
  </si>
  <si>
    <t>This Round Projected</t>
  </si>
  <si>
    <t>Variance %</t>
  </si>
  <si>
    <t>Net Sales / Revenue</t>
  </si>
  <si>
    <t>Cost of Goods Sold</t>
  </si>
  <si>
    <t>Gross Margin</t>
  </si>
  <si>
    <t>S&amp;A Expenses</t>
  </si>
  <si>
    <t>Depreciation (HARD)</t>
  </si>
  <si>
    <t>← Auto-calc from machine_spaces.xlsx</t>
  </si>
  <si>
    <t>Interest Expense</t>
  </si>
  <si>
    <t>EST. NET INCOME</t>
  </si>
  <si>
    <t>ACCURACY CHECK</t>
  </si>
  <si>
    <t>Projected Net Margin</t>
  </si>
  <si>
    <t>Profit Realism Flag</t>
  </si>
  <si>
    <t>BALANCE SHEET HEALTH - Solvency &amp; Debt Control</t>
  </si>
  <si>
    <t>CURRENT POSITION (From results_and_balance_statements)</t>
  </si>
  <si>
    <t>Total Assets</t>
  </si>
  <si>
    <t>Total Liabilities</t>
  </si>
  <si>
    <t>Total Equity</t>
  </si>
  <si>
    <t>Retained Earnings</t>
  </si>
  <si>
    <t>DEBT ANALYSIS</t>
  </si>
  <si>
    <t>Metric</t>
  </si>
  <si>
    <t>Ratio</t>
  </si>
  <si>
    <t>Limit</t>
  </si>
  <si>
    <t>Current Debt Ratio</t>
  </si>
  <si>
    <t>Current</t>
  </si>
  <si>
    <t>Post-Decision</t>
  </si>
  <si>
    <t>Projected New Credit Lines</t>
  </si>
  <si>
    <t>Projected New Mortgages</t>
  </si>
  <si>
    <t>Total New Debt</t>
  </si>
  <si>
    <t>Est. Post-Decision Debt Ratio</t>
  </si>
  <si>
    <t>WARNING FLAGS</t>
  </si>
  <si>
    <t>Debt Level Check</t>
  </si>
  <si>
    <t>DEBT MANAGER - Mortgage Calculator</t>
  </si>
  <si>
    <t>MORTGAGE BLOCK</t>
  </si>
  <si>
    <t>Loan #</t>
  </si>
  <si>
    <t>Amount</t>
  </si>
  <si>
    <t>Interest Rate</t>
  </si>
  <si>
    <t>Payment Period 1</t>
  </si>
  <si>
    <t>Payment Period 2</t>
  </si>
  <si>
    <t>Total Payments</t>
  </si>
  <si>
    <t>Loan 1</t>
  </si>
  <si>
    <t>Loan 2</t>
  </si>
  <si>
    <t>Loan 3</t>
  </si>
  <si>
    <t>TOTAL</t>
  </si>
  <si>
    <t>DIVIDEND CONTROL</t>
  </si>
  <si>
    <t>Max Dividend Capacity (HARD)</t>
  </si>
  <si>
    <t>← Retained Earnings from balance sheet</t>
  </si>
  <si>
    <t>User Dividend Input</t>
  </si>
  <si>
    <t>Dividend Status</t>
  </si>
  <si>
    <t>FINANCE DECISIONS - ExSim Upload Format</t>
  </si>
  <si>
    <t>Copy these values to ExSim Finance upload</t>
  </si>
  <si>
    <t>Credit Lines</t>
  </si>
  <si>
    <t>Investments</t>
  </si>
  <si>
    <t>Mortgages</t>
  </si>
  <si>
    <t>Loan</t>
  </si>
  <si>
    <t>Payment 1</t>
  </si>
  <si>
    <t>Payment 2</t>
  </si>
  <si>
    <t>Dividends</t>
  </si>
  <si>
    <t>CROSS-REFERENCE SUMMARY - Upstream Dashboard KPIs</t>
  </si>
  <si>
    <t>Key metrics from other dashboards affecting cash flow. Data from shared_outputs.json.</t>
  </si>
  <si>
    <t>CMO (Revenue &amp; Marketing)</t>
  </si>
  <si>
    <t>Projected Revenue</t>
  </si>
  <si>
    <t>Marketing Spend</t>
  </si>
  <si>
    <t>Innovation Costs</t>
  </si>
  <si>
    <t>PRODUCTION (Output)</t>
  </si>
  <si>
    <t>Total Production</t>
  </si>
  <si>
    <t>Avg Unit Cost</t>
  </si>
  <si>
    <t>Utilization</t>
  </si>
  <si>
    <t>COST DRIVERS (Variable)</t>
  </si>
  <si>
    <t>Labor (CPO)</t>
  </si>
  <si>
    <t>Materials (Purchasing)</t>
  </si>
  <si>
    <t>Logistics (CLO)</t>
  </si>
  <si>
    <t>TOTAL VARIABLE EST.</t>
  </si>
  <si>
    <t>ESG (Sustainability)</t>
  </si>
  <si>
    <t>CO2 Emissions</t>
  </si>
  <si>
    <t>Tax Liability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</si>
</sst>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"/>
    <numFmt numFmtId="165" formatCode="0.0%"/>
    <numFmt numFmtId="166" formatCode="\$#,##0.00"/>
  </numFmts>
  <fonts count="7" x14ac:knownFonts="1">
    <font>
      <sz val="11"/>
      <color theme="1"/>
      <name val="Calibri"/>
      <family val="2"/>
      <scheme val="minor"/>
    </font>
    <font>
      <b/>
      <sz val="14"/>
      <color rgb="FF2F5496"/>
      <name val="Calibri"/>
    </font>
    <font>
      <b/>
      <sz val="12"/>
      <color rgb="FF2F5496"/>
      <name val="Calibri"/>
    </font>
    <font>
      <b/>
      <sz val="11"/>
      <name val="Calibri"/>
    </font>
    <font>
      <i/>
      <sz val="11"/>
      <color rgb="FF666666"/>
      <name val="Calibri"/>
    </font>
    <font>
      <b/>
      <sz val="11"/>
      <color rgb="FFFFFFFF"/>
      <name val="Calibri"/>
    </font>
    <font>
      <i/>
      <sz val="11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B4B4B4"/>
        <bgColor rgb="FFB4B4B4"/>
      </patternFill>
    </fill>
    <fill>
      <patternFill patternType="solid">
        <fgColor rgb="FF2F5496"/>
        <bgColor rgb="FF2F5496"/>
      </patternFill>
    </fill>
    <fill>
      <patternFill patternType="solid">
        <fgColor rgb="FFE2EFDA"/>
        <bgColor rgb="FFE2EFDA"/>
      </patternFill>
    </fill>
    <fill>
      <patternFill patternType="solid">
        <fgColor rgb="FFC6EFCE"/>
        <bgColor rgb="FFC6EFCE"/>
      </patternFill>
    </fill>
    <fill>
      <patternFill patternType="solid">
        <fgColor rgb="FF4472C4"/>
        <bgColor rgb="FF4472C4"/>
      </patternFill>
    </fill>
    <fill>
      <patternFill patternType="solid">
        <fgColor rgb="FF70AD47"/>
        <bgColor rgb="FF70AD47"/>
      </patternFill>
    </fill>
    <fill>
      <patternFill patternType="solid">
        <fgColor rgb="FFC00000"/>
        <bgColor rgb="FFC00000"/>
      </patternFill>
    </fill>
    <fill>
      <patternFill patternType="solid">
        <fgColor rgb="FF00B050"/>
        <bgColor rgb="FF00B05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164" fontId="0" fillId="2" borderId="1" xfId="0" applyNumberFormat="1" applyFill="1" applyBorder="1"/>
    <xf numFmtId="164" fontId="0" fillId="3" borderId="1" xfId="0" applyNumberFormat="1" applyFill="1" applyBorder="1"/>
    <xf numFmtId="0" fontId="3" fillId="0" borderId="0" xfId="0" applyFont="1"/>
    <xf numFmtId="164" fontId="3" fillId="4" borderId="1" xfId="0" applyNumberFormat="1" applyFont="1" applyFill="1" applyBorder="1"/>
    <xf numFmtId="0" fontId="4" fillId="0" borderId="0" xfId="0" applyFont="1"/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6" fillId="0" borderId="0" xfId="0" applyFont="1"/>
    <xf numFmtId="164" fontId="0" fillId="0" borderId="0" xfId="0" applyNumberFormat="1"/>
    <xf numFmtId="164" fontId="0" fillId="6" borderId="1" xfId="0" applyNumberFormat="1" applyFill="1" applyBorder="1"/>
    <xf numFmtId="164" fontId="3" fillId="7" borderId="1" xfId="0" applyNumberFormat="1" applyFont="1" applyFill="1" applyBorder="1"/>
    <xf numFmtId="165" fontId="0" fillId="2" borderId="1" xfId="0" applyNumberFormat="1" applyFill="1" applyBorder="1"/>
    <xf numFmtId="0" fontId="5" fillId="5" borderId="1" xfId="0" applyFont="1" applyFill="1" applyBorder="1"/>
    <xf numFmtId="165" fontId="0" fillId="6" borderId="1" xfId="0" applyNumberFormat="1" applyFill="1" applyBorder="1"/>
    <xf numFmtId="164" fontId="3" fillId="2" borderId="1" xfId="0" applyNumberFormat="1" applyFont="1" applyFill="1" applyBorder="1"/>
    <xf numFmtId="0" fontId="3" fillId="0" borderId="1" xfId="0" applyFont="1" applyBorder="1"/>
    <xf numFmtId="165" fontId="3" fillId="7" borderId="1" xfId="0" applyNumberFormat="1" applyFont="1" applyFill="1" applyBorder="1"/>
    <xf numFmtId="165" fontId="0" fillId="3" borderId="1" xfId="0" applyNumberFormat="1" applyFill="1" applyBorder="1"/>
    <xf numFmtId="0" fontId="0" fillId="6" borderId="0" xfId="0" applyFill="1"/>
    <xf numFmtId="164" fontId="0" fillId="4" borderId="1" xfId="0" applyNumberFormat="1" applyFill="1" applyBorder="1"/>
    <xf numFmtId="0" fontId="5" fillId="8" borderId="0" xfId="0" applyFont="1" applyFill="1"/>
    <xf numFmtId="0" fontId="5" fillId="9" borderId="0" xfId="0" applyFont="1" applyFill="1"/>
    <xf numFmtId="3" fontId="0" fillId="2" borderId="1" xfId="0" applyNumberFormat="1" applyFill="1" applyBorder="1"/>
    <xf numFmtId="166" fontId="0" fillId="2" borderId="1" xfId="0" applyNumberFormat="1" applyFill="1" applyBorder="1"/>
    <xf numFmtId="0" fontId="5" fillId="10" borderId="0" xfId="0" applyFont="1" applyFill="1"/>
    <xf numFmtId="0" fontId="5" fillId="11" borderId="0" xfId="0" applyFont="1" applyFill="1"/>
  </cellXfs>
  <cellStyles count="1">
    <cellStyle name="Normal" xfId="0" builtinId="0"/>
  </cellStyles>
  <dxfs count="6"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84"/>
          <bgColor rgb="FFFFEB84"/>
        </patternFill>
      </fill>
    </dxf>
    <dxf>
      <font>
        <b/>
        <color rgb="FF00B050"/>
      </font>
    </dxf>
    <dxf>
      <font>
        <b/>
        <color rgb="FFC00000"/>
      </font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2"/>
  <c:chart>
    <c:title>
      <c:tx>
        <c:rich>
          <a:bodyPr/>
          <a:lstStyle/>
          <a:p>
            <a:pPr>
              <a:defRPr/>
            </a:pPr>
            <a:r>
              <a:rPr lang="en-US"/>
              <a:t>Liquidity Forecast (Cash Balance)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Ending Cash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LIQUIDITY_MONITOR!$B$14:$I$14</c:f>
              <c:strCache>
                <c:ptCount val="8"/>
                <c:pt idx="0">
                  <c:v>FN1</c:v>
                </c:pt>
                <c:pt idx="1">
                  <c:v>FN2</c:v>
                </c:pt>
                <c:pt idx="2">
                  <c:v>FN3</c:v>
                </c:pt>
                <c:pt idx="3">
                  <c:v>FN4</c:v>
                </c:pt>
                <c:pt idx="4">
                  <c:v>FN5</c:v>
                </c:pt>
                <c:pt idx="5">
                  <c:v>FN6</c:v>
                </c:pt>
                <c:pt idx="6">
                  <c:v>FN7</c:v>
                </c:pt>
                <c:pt idx="7">
                  <c:v>FN8</c:v>
                </c:pt>
              </c:strCache>
            </c:strRef>
          </c:cat>
          <c:val>
            <c:numRef>
              <c:f>LIQUIDITY_MONITOR!$B$33:$I$33</c:f>
              <c:numCache>
                <c:formatCode>\$#,##0</c:formatCode>
                <c:ptCount val="8"/>
                <c:pt idx="0">
                  <c:v>525000</c:v>
                </c:pt>
                <c:pt idx="1">
                  <c:v>600000</c:v>
                </c:pt>
                <c:pt idx="2">
                  <c:v>675000</c:v>
                </c:pt>
                <c:pt idx="3">
                  <c:v>750000</c:v>
                </c:pt>
                <c:pt idx="4">
                  <c:v>825000</c:v>
                </c:pt>
                <c:pt idx="5">
                  <c:v>900000</c:v>
                </c:pt>
                <c:pt idx="6">
                  <c:v>975000</c:v>
                </c:pt>
                <c:pt idx="7">
                  <c:v>1050000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6E6-45D6-8FBD-5D50C5871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Fortnight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Cash Balance ($)</a:t>
                </a:r>
              </a:p>
            </c:rich>
          </c:tx>
          <c:overlay val="1"/>
        </c:title>
        <c:numFmt formatCode="\$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Solvency Gauge (Debt Ratio)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BALANCE_SHEET_HEALTH!$I$12</c:f>
              <c:strCache>
                <c:ptCount val="1"/>
                <c:pt idx="0">
                  <c:v>Ratio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BALANCE_SHEET_HEALTH!$H$13:$H$14</c:f>
              <c:strCache>
                <c:ptCount val="2"/>
                <c:pt idx="0">
                  <c:v>Current</c:v>
                </c:pt>
                <c:pt idx="1">
                  <c:v>Post-Decision</c:v>
                </c:pt>
              </c:strCache>
            </c:strRef>
          </c:cat>
          <c:val>
            <c:numRef>
              <c:f>BALANCE_SHEET_HEALTH!$I$13:$I$14</c:f>
              <c:numCache>
                <c:formatCode>General</c:formatCode>
                <c:ptCount val="2"/>
                <c:pt idx="0">
                  <c:v>0.375</c:v>
                </c:pt>
                <c:pt idx="1">
                  <c:v>0.375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C7-424B-BB37-06A948A117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lineChart>
        <c:grouping val="standard"/>
        <c:varyColors val="1"/>
        <c:ser>
          <c:idx val="1"/>
          <c:order val="1"/>
          <c:tx>
            <c:strRef>
              <c:f>BALANCE_SHEET_HEALTH!$J$12</c:f>
              <c:strCache>
                <c:ptCount val="1"/>
                <c:pt idx="0">
                  <c:v>Limit</c:v>
                </c:pt>
              </c:strCache>
            </c:strRef>
          </c:tx>
          <c:spPr>
            <a:ln w="20000">
              <a:solidFill>
                <a:srgbClr val="FF0000"/>
              </a:solidFill>
              <a:prstDash val="solid"/>
            </a:ln>
          </c:spPr>
          <c:marker>
            <c:symbol val="none"/>
          </c:marker>
          <c:val>
            <c:numRef>
              <c:f>BALANCE_SHEET_HEALTH!$J$13:$J$14</c:f>
              <c:numCache>
                <c:formatCode>General</c:formatCode>
                <c:ptCount val="2"/>
                <c:pt idx="0">
                  <c:v>0.6</c:v>
                </c:pt>
                <c:pt idx="1">
                  <c:v>0.6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6C7-424B-BB37-06A948A117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2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  <c:valAx>
        <c:axId val="2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514350</xdr:colOff>
      <xdr:row>3</xdr:row>
      <xdr:rowOff>133350</xdr:rowOff>
    </xdr:from>
    <xdr:ext cx="540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11</xdr:row>
      <xdr:rowOff>0</xdr:rowOff>
    </xdr:from>
    <xdr:ext cx="360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"/>
  <sheetViews>
    <sheetView tabSelected="1" workbookViewId="0">
      <selection activeCell="O32" sqref="O32"/>
    </sheetView>
  </sheetViews>
  <sheetFormatPr defaultRowHeight="15" x14ac:dyDescent="0.25"/>
  <cols>
    <col min="1" max="1" width="28" customWidth="1"/>
    <col min="2" max="9" width="14" customWidth="1"/>
  </cols>
  <sheetData>
    <row r="1" spans="1:9" ht="18.75" x14ac:dyDescent="0.3">
      <c r="A1" s="1" t="s">
        <v>0</v>
      </c>
    </row>
    <row r="3" spans="1:9" ht="15.75" x14ac:dyDescent="0.25">
      <c r="A3" s="2" t="s">
        <v>1</v>
      </c>
    </row>
    <row r="5" spans="1:9" x14ac:dyDescent="0.25">
      <c r="A5" s="3" t="s">
        <v>2</v>
      </c>
      <c r="B5" s="4">
        <v>500000</v>
      </c>
    </row>
    <row r="6" spans="1:9" x14ac:dyDescent="0.25">
      <c r="A6" s="3" t="s">
        <v>3</v>
      </c>
      <c r="B6" s="5">
        <v>50000</v>
      </c>
    </row>
    <row r="7" spans="1:9" x14ac:dyDescent="0.25">
      <c r="A7" s="3" t="s">
        <v>4</v>
      </c>
      <c r="B7" s="5">
        <v>0</v>
      </c>
    </row>
    <row r="8" spans="1:9" x14ac:dyDescent="0.25">
      <c r="A8" s="3" t="s">
        <v>5</v>
      </c>
      <c r="B8" s="5">
        <v>0</v>
      </c>
    </row>
    <row r="9" spans="1:9" x14ac:dyDescent="0.25">
      <c r="A9" s="6" t="s">
        <v>6</v>
      </c>
      <c r="B9" s="7">
        <v>450000</v>
      </c>
      <c r="C9" s="8" t="s">
        <v>7</v>
      </c>
    </row>
    <row r="12" spans="1:9" ht="15.75" x14ac:dyDescent="0.25">
      <c r="A12" s="2" t="s">
        <v>8</v>
      </c>
    </row>
    <row r="14" spans="1:9" x14ac:dyDescent="0.25">
      <c r="A14" s="9" t="s">
        <v>9</v>
      </c>
      <c r="B14" s="10" t="s">
        <v>10</v>
      </c>
      <c r="C14" s="10" t="s">
        <v>11</v>
      </c>
      <c r="D14" s="10" t="s">
        <v>12</v>
      </c>
      <c r="E14" s="10" t="s">
        <v>13</v>
      </c>
      <c r="F14" s="10" t="s">
        <v>14</v>
      </c>
      <c r="G14" s="10" t="s">
        <v>15</v>
      </c>
      <c r="H14" s="10" t="s">
        <v>16</v>
      </c>
      <c r="I14" s="10" t="s">
        <v>17</v>
      </c>
    </row>
    <row r="15" spans="1:9" x14ac:dyDescent="0.25">
      <c r="A15" s="3" t="s">
        <v>18</v>
      </c>
      <c r="B15" s="4">
        <f>$B$9</f>
        <v>450000</v>
      </c>
      <c r="C15" s="4">
        <f t="shared" ref="C15:I15" si="0">B$33</f>
        <v>525000</v>
      </c>
      <c r="D15" s="4">
        <f t="shared" si="0"/>
        <v>600000</v>
      </c>
      <c r="E15" s="4">
        <f t="shared" si="0"/>
        <v>675000</v>
      </c>
      <c r="F15" s="4">
        <f t="shared" si="0"/>
        <v>750000</v>
      </c>
      <c r="G15" s="4">
        <f t="shared" si="0"/>
        <v>825000</v>
      </c>
      <c r="H15" s="4">
        <f t="shared" si="0"/>
        <v>900000</v>
      </c>
      <c r="I15" s="4">
        <f t="shared" si="0"/>
        <v>975000</v>
      </c>
    </row>
    <row r="16" spans="1:9" x14ac:dyDescent="0.25">
      <c r="A16" s="3" t="s">
        <v>19</v>
      </c>
      <c r="B16" s="5">
        <v>100000</v>
      </c>
      <c r="C16" s="5">
        <v>100000</v>
      </c>
      <c r="D16" s="5">
        <v>100000</v>
      </c>
      <c r="E16" s="5">
        <v>100000</v>
      </c>
      <c r="F16" s="5">
        <v>100000</v>
      </c>
      <c r="G16" s="5">
        <v>100000</v>
      </c>
      <c r="H16" s="5">
        <v>100000</v>
      </c>
      <c r="I16" s="5">
        <v>100000</v>
      </c>
    </row>
    <row r="17" spans="1:9" x14ac:dyDescent="0.25">
      <c r="A17" s="3" t="s">
        <v>20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</row>
    <row r="18" spans="1:9" x14ac:dyDescent="0.25">
      <c r="A18" s="3" t="s">
        <v>21</v>
      </c>
      <c r="B18" s="5">
        <v>25000</v>
      </c>
      <c r="C18" s="5">
        <v>25000</v>
      </c>
      <c r="D18" s="5">
        <v>25000</v>
      </c>
      <c r="E18" s="5">
        <v>25000</v>
      </c>
      <c r="F18" s="5">
        <v>25000</v>
      </c>
      <c r="G18" s="5">
        <v>25000</v>
      </c>
      <c r="H18" s="5">
        <v>25000</v>
      </c>
      <c r="I18" s="5">
        <v>25000</v>
      </c>
    </row>
    <row r="19" spans="1:9" x14ac:dyDescent="0.25">
      <c r="A19" s="3" t="s">
        <v>22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</row>
    <row r="20" spans="1:9" x14ac:dyDescent="0.25">
      <c r="A20" s="3" t="s">
        <v>23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</row>
    <row r="24" spans="1:9" ht="15.75" x14ac:dyDescent="0.25">
      <c r="A24" s="2" t="s">
        <v>24</v>
      </c>
      <c r="C24" s="6" t="s">
        <v>25</v>
      </c>
      <c r="D24" s="11" t="s">
        <v>26</v>
      </c>
    </row>
    <row r="25" spans="1:9" x14ac:dyDescent="0.25">
      <c r="A25" s="3" t="s">
        <v>27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</row>
    <row r="26" spans="1:9" x14ac:dyDescent="0.25">
      <c r="A26" s="11" t="s">
        <v>28</v>
      </c>
      <c r="B26" s="12">
        <f>0+B25</f>
        <v>0</v>
      </c>
      <c r="C26" s="12">
        <f t="shared" ref="C26:I26" si="1">B26+C25</f>
        <v>0</v>
      </c>
      <c r="D26" s="12">
        <f t="shared" si="1"/>
        <v>0</v>
      </c>
      <c r="E26" s="12">
        <f t="shared" si="1"/>
        <v>0</v>
      </c>
      <c r="F26" s="12">
        <f t="shared" si="1"/>
        <v>0</v>
      </c>
      <c r="G26" s="12">
        <f t="shared" si="1"/>
        <v>0</v>
      </c>
      <c r="H26" s="12">
        <f t="shared" si="1"/>
        <v>0</v>
      </c>
      <c r="I26" s="12">
        <f t="shared" si="1"/>
        <v>0</v>
      </c>
    </row>
    <row r="27" spans="1:9" x14ac:dyDescent="0.25">
      <c r="A27" s="3" t="s">
        <v>29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</row>
    <row r="28" spans="1:9" x14ac:dyDescent="0.25">
      <c r="A28" s="3" t="s">
        <v>30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</row>
    <row r="29" spans="1:9" x14ac:dyDescent="0.25">
      <c r="A29" s="3" t="s">
        <v>31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</row>
    <row r="31" spans="1:9" ht="15.75" x14ac:dyDescent="0.25">
      <c r="A31" s="2" t="s">
        <v>32</v>
      </c>
    </row>
    <row r="32" spans="1:9" x14ac:dyDescent="0.25">
      <c r="A32" s="3" t="s">
        <v>33</v>
      </c>
      <c r="B32" s="13">
        <f t="shared" ref="B32:I32" si="2">B16+B19+B25+B28-B17-B18-B20-B27-B29</f>
        <v>75000</v>
      </c>
      <c r="C32" s="13">
        <f t="shared" si="2"/>
        <v>75000</v>
      </c>
      <c r="D32" s="13">
        <f t="shared" si="2"/>
        <v>75000</v>
      </c>
      <c r="E32" s="13">
        <f t="shared" si="2"/>
        <v>75000</v>
      </c>
      <c r="F32" s="13">
        <f t="shared" si="2"/>
        <v>75000</v>
      </c>
      <c r="G32" s="13">
        <f t="shared" si="2"/>
        <v>75000</v>
      </c>
      <c r="H32" s="13">
        <f t="shared" si="2"/>
        <v>75000</v>
      </c>
      <c r="I32" s="13">
        <f t="shared" si="2"/>
        <v>75000</v>
      </c>
    </row>
    <row r="33" spans="1:9" x14ac:dyDescent="0.25">
      <c r="A33" s="6" t="s">
        <v>34</v>
      </c>
      <c r="B33" s="14">
        <f t="shared" ref="B33:I33" si="3">B15+B32</f>
        <v>525000</v>
      </c>
      <c r="C33" s="14">
        <f t="shared" si="3"/>
        <v>600000</v>
      </c>
      <c r="D33" s="14">
        <f t="shared" si="3"/>
        <v>675000</v>
      </c>
      <c r="E33" s="14">
        <f t="shared" si="3"/>
        <v>750000</v>
      </c>
      <c r="F33" s="14">
        <f t="shared" si="3"/>
        <v>825000</v>
      </c>
      <c r="G33" s="14">
        <f t="shared" si="3"/>
        <v>900000</v>
      </c>
      <c r="H33" s="14">
        <f t="shared" si="3"/>
        <v>975000</v>
      </c>
      <c r="I33" s="14">
        <f t="shared" si="3"/>
        <v>1050000</v>
      </c>
    </row>
    <row r="34" spans="1:9" x14ac:dyDescent="0.25">
      <c r="A34" s="3" t="s">
        <v>35</v>
      </c>
      <c r="B34" s="3" t="str">
        <f t="shared" ref="B34:I34" si="4">IF(B33&lt;0,"INSOLVENT!",IF(B33&gt;200000,"Excess Cash","OK"))</f>
        <v>Excess Cash</v>
      </c>
      <c r="C34" s="3" t="str">
        <f t="shared" si="4"/>
        <v>Excess Cash</v>
      </c>
      <c r="D34" s="3" t="str">
        <f t="shared" si="4"/>
        <v>Excess Cash</v>
      </c>
      <c r="E34" s="3" t="str">
        <f t="shared" si="4"/>
        <v>Excess Cash</v>
      </c>
      <c r="F34" s="3" t="str">
        <f t="shared" si="4"/>
        <v>Excess Cash</v>
      </c>
      <c r="G34" s="3" t="str">
        <f t="shared" si="4"/>
        <v>Excess Cash</v>
      </c>
      <c r="H34" s="3" t="str">
        <f t="shared" si="4"/>
        <v>Excess Cash</v>
      </c>
      <c r="I34" s="3" t="str">
        <f t="shared" si="4"/>
        <v>Excess Cash</v>
      </c>
    </row>
  </sheetData>
  <conditionalFormatting sqref="B33:I33">
    <cfRule type="expression" dxfId="5" priority="1">
      <formula>B33&lt;0</formula>
    </cfRule>
    <cfRule type="expression" dxfId="4" priority="2">
      <formula>B33&gt;200000</formula>
    </cfRule>
  </conditionalFormatting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workbookViewId="0"/>
  </sheetViews>
  <sheetFormatPr defaultRowHeight="15" x14ac:dyDescent="0.25"/>
  <cols>
    <col min="1" max="1" width="28" customWidth="1"/>
    <col min="2" max="2" width="20" customWidth="1"/>
    <col min="3" max="3" width="22" customWidth="1"/>
    <col min="4" max="4" width="14" customWidth="1"/>
  </cols>
  <sheetData>
    <row r="1" spans="1:5" ht="18.75" x14ac:dyDescent="0.3">
      <c r="A1" s="1" t="s">
        <v>36</v>
      </c>
    </row>
    <row r="3" spans="1:5" ht="15.75" x14ac:dyDescent="0.25">
      <c r="A3" s="2" t="s">
        <v>37</v>
      </c>
    </row>
    <row r="5" spans="1:5" x14ac:dyDescent="0.25">
      <c r="A5" s="3" t="s">
        <v>38</v>
      </c>
      <c r="B5" s="15">
        <v>0.4</v>
      </c>
    </row>
    <row r="6" spans="1:5" x14ac:dyDescent="0.25">
      <c r="A6" s="3" t="s">
        <v>39</v>
      </c>
      <c r="B6" s="15">
        <v>0.1</v>
      </c>
    </row>
    <row r="9" spans="1:5" ht="15.75" x14ac:dyDescent="0.25">
      <c r="A9" s="2" t="s">
        <v>40</v>
      </c>
    </row>
    <row r="10" spans="1:5" x14ac:dyDescent="0.25">
      <c r="A10" s="16" t="s">
        <v>41</v>
      </c>
      <c r="B10" s="16" t="s">
        <v>42</v>
      </c>
      <c r="C10" s="16" t="s">
        <v>43</v>
      </c>
      <c r="D10" s="16" t="s">
        <v>44</v>
      </c>
    </row>
    <row r="11" spans="1:5" x14ac:dyDescent="0.25">
      <c r="A11" s="3" t="s">
        <v>45</v>
      </c>
      <c r="B11" s="4">
        <v>1000000</v>
      </c>
      <c r="C11" s="5">
        <v>1000000</v>
      </c>
      <c r="D11" s="17">
        <f>IF(B11&gt;0,(C11-B11)/B11,0)</f>
        <v>0</v>
      </c>
    </row>
    <row r="12" spans="1:5" x14ac:dyDescent="0.25">
      <c r="A12" s="3" t="s">
        <v>46</v>
      </c>
      <c r="B12" s="4">
        <v>600000</v>
      </c>
      <c r="C12" s="13">
        <f>C11*(1-$B$5)</f>
        <v>600000</v>
      </c>
      <c r="D12" s="17">
        <f>IF(B12&gt;0,(C12-B12)/B12,0)</f>
        <v>0</v>
      </c>
    </row>
    <row r="13" spans="1:5" x14ac:dyDescent="0.25">
      <c r="A13" s="3" t="s">
        <v>47</v>
      </c>
      <c r="B13" s="4">
        <v>400000</v>
      </c>
      <c r="C13" s="13">
        <f>C11-C12</f>
        <v>400000</v>
      </c>
      <c r="D13" s="17">
        <f>IF(B13&gt;0,(C13-B13)/B13,0)</f>
        <v>0</v>
      </c>
    </row>
    <row r="14" spans="1:5" x14ac:dyDescent="0.25">
      <c r="A14" s="3" t="s">
        <v>48</v>
      </c>
      <c r="B14" s="4">
        <v>200000</v>
      </c>
      <c r="C14" s="5">
        <v>200000</v>
      </c>
      <c r="D14" s="17">
        <f>IF(B14&gt;0,(C14-B14)/B14,0)</f>
        <v>0</v>
      </c>
    </row>
    <row r="15" spans="1:5" x14ac:dyDescent="0.25">
      <c r="A15" s="3" t="s">
        <v>49</v>
      </c>
      <c r="B15" s="4">
        <v>0</v>
      </c>
      <c r="C15" s="5">
        <v>0</v>
      </c>
      <c r="D15" s="17">
        <f>IF(B15&gt;0,(C15-B15)/B15,0)</f>
        <v>0</v>
      </c>
      <c r="E15" s="8" t="s">
        <v>50</v>
      </c>
    </row>
    <row r="16" spans="1:5" x14ac:dyDescent="0.25">
      <c r="A16" s="3" t="s">
        <v>51</v>
      </c>
      <c r="B16" s="4">
        <v>0</v>
      </c>
      <c r="C16" s="5">
        <v>0</v>
      </c>
    </row>
    <row r="17" spans="1:4" x14ac:dyDescent="0.25">
      <c r="A17" s="6" t="s">
        <v>52</v>
      </c>
      <c r="B17" s="18">
        <v>100000</v>
      </c>
      <c r="C17" s="14">
        <f>C13-C14-C15-C16</f>
        <v>200000</v>
      </c>
      <c r="D17" s="17">
        <f>IF(B17&gt;0,(C17-B17)/B17,0)</f>
        <v>1</v>
      </c>
    </row>
    <row r="19" spans="1:4" ht="15.75" x14ac:dyDescent="0.25">
      <c r="A19" s="2" t="s">
        <v>53</v>
      </c>
    </row>
    <row r="20" spans="1:4" x14ac:dyDescent="0.25">
      <c r="A20" s="3" t="s">
        <v>54</v>
      </c>
      <c r="B20" s="17">
        <f>IF(C11&gt;0,C17/C11,0)</f>
        <v>0.2</v>
      </c>
    </row>
    <row r="21" spans="1:4" x14ac:dyDescent="0.25">
      <c r="A21" s="3" t="s">
        <v>55</v>
      </c>
      <c r="B21" s="19" t="str">
        <f>IF(B20&gt;$B$6+0.05,"WARNING: Unrealistic profit jump!","Projection OK")</f>
        <v>WARNING: Unrealistic profit jump!</v>
      </c>
    </row>
  </sheetData>
  <conditionalFormatting sqref="C17">
    <cfRule type="expression" dxfId="3" priority="1">
      <formula>C17&lt;0</formula>
    </cfRule>
    <cfRule type="expression" dxfId="2" priority="2">
      <formula>C17&gt;0</formula>
    </cfRule>
  </conditionalFormatting>
  <conditionalFormatting sqref="D12:D17">
    <cfRule type="expression" dxfId="1" priority="3">
      <formula>ABS(D12)&gt;0.1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3"/>
  <sheetViews>
    <sheetView workbookViewId="0"/>
  </sheetViews>
  <sheetFormatPr defaultRowHeight="15" x14ac:dyDescent="0.25"/>
  <cols>
    <col min="1" max="1" width="30" customWidth="1"/>
    <col min="2" max="2" width="50" customWidth="1"/>
  </cols>
  <sheetData>
    <row r="1" spans="1:10" ht="18.75" x14ac:dyDescent="0.3">
      <c r="A1" s="1" t="s">
        <v>56</v>
      </c>
    </row>
    <row r="3" spans="1:10" ht="15.75" x14ac:dyDescent="0.25">
      <c r="A3" s="2" t="s">
        <v>57</v>
      </c>
    </row>
    <row r="5" spans="1:10" x14ac:dyDescent="0.25">
      <c r="A5" s="3" t="s">
        <v>58</v>
      </c>
      <c r="B5" s="4">
        <v>4000000</v>
      </c>
    </row>
    <row r="6" spans="1:10" x14ac:dyDescent="0.25">
      <c r="A6" s="3" t="s">
        <v>59</v>
      </c>
      <c r="B6" s="4">
        <v>1500000</v>
      </c>
    </row>
    <row r="7" spans="1:10" x14ac:dyDescent="0.25">
      <c r="A7" s="3" t="s">
        <v>60</v>
      </c>
      <c r="B7" s="4">
        <v>2500000</v>
      </c>
    </row>
    <row r="8" spans="1:10" x14ac:dyDescent="0.25">
      <c r="A8" s="3" t="s">
        <v>61</v>
      </c>
      <c r="B8" s="4">
        <v>200000</v>
      </c>
    </row>
    <row r="11" spans="1:10" ht="15.75" x14ac:dyDescent="0.25">
      <c r="A11" s="2" t="s">
        <v>62</v>
      </c>
    </row>
    <row r="12" spans="1:10" x14ac:dyDescent="0.25">
      <c r="H12" t="s">
        <v>63</v>
      </c>
      <c r="I12" t="s">
        <v>64</v>
      </c>
      <c r="J12" t="s">
        <v>65</v>
      </c>
    </row>
    <row r="13" spans="1:10" x14ac:dyDescent="0.25">
      <c r="A13" s="3" t="s">
        <v>66</v>
      </c>
      <c r="B13" s="17">
        <f>B6/B5</f>
        <v>0.375</v>
      </c>
      <c r="H13" t="s">
        <v>67</v>
      </c>
      <c r="I13">
        <f>B13</f>
        <v>0.375</v>
      </c>
      <c r="J13">
        <v>0.6</v>
      </c>
    </row>
    <row r="14" spans="1:10" x14ac:dyDescent="0.25">
      <c r="H14" t="s">
        <v>68</v>
      </c>
      <c r="I14">
        <f>B19</f>
        <v>0.375</v>
      </c>
      <c r="J14">
        <v>0.6</v>
      </c>
    </row>
    <row r="15" spans="1:10" x14ac:dyDescent="0.25">
      <c r="A15" s="3" t="s">
        <v>69</v>
      </c>
      <c r="B15" s="5">
        <v>0</v>
      </c>
    </row>
    <row r="16" spans="1:10" x14ac:dyDescent="0.25">
      <c r="A16" s="3" t="s">
        <v>70</v>
      </c>
      <c r="B16" s="5">
        <v>0</v>
      </c>
    </row>
    <row r="17" spans="1:2" x14ac:dyDescent="0.25">
      <c r="A17" s="3" t="s">
        <v>71</v>
      </c>
      <c r="B17" s="13">
        <f>B15+B16</f>
        <v>0</v>
      </c>
    </row>
    <row r="19" spans="1:2" x14ac:dyDescent="0.25">
      <c r="A19" s="3" t="s">
        <v>72</v>
      </c>
      <c r="B19" s="20">
        <f>(B6+B17)/B5</f>
        <v>0.375</v>
      </c>
    </row>
    <row r="21" spans="1:2" ht="15.75" x14ac:dyDescent="0.25">
      <c r="A21" s="2" t="s">
        <v>73</v>
      </c>
    </row>
    <row r="22" spans="1:2" x14ac:dyDescent="0.25">
      <c r="A22" s="3" t="s">
        <v>74</v>
      </c>
      <c r="B22" s="19" t="str">
        <f>IF(B19&gt;0.6,"CRITICAL: Debt too high. Credit Rating Risk.","Health OK")</f>
        <v>Health OK</v>
      </c>
    </row>
    <row r="23" spans="1:2" x14ac:dyDescent="0.25">
      <c r="B23" s="19" t="str">
        <f>IF(B8&lt;0,"CRITICAL: Equity Erosion. Retained earnings negative.","Equity OK")</f>
        <v>Equity OK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6"/>
  <sheetViews>
    <sheetView workbookViewId="0"/>
  </sheetViews>
  <sheetFormatPr defaultRowHeight="15" x14ac:dyDescent="0.25"/>
  <cols>
    <col min="1" max="6" width="18" customWidth="1"/>
  </cols>
  <sheetData>
    <row r="1" spans="1:6" ht="18.75" x14ac:dyDescent="0.3">
      <c r="A1" s="1" t="s">
        <v>75</v>
      </c>
    </row>
    <row r="3" spans="1:6" ht="15.75" x14ac:dyDescent="0.25">
      <c r="A3" s="2" t="s">
        <v>76</v>
      </c>
    </row>
    <row r="5" spans="1:6" x14ac:dyDescent="0.25">
      <c r="A5" s="16" t="s">
        <v>77</v>
      </c>
      <c r="B5" s="16" t="s">
        <v>78</v>
      </c>
      <c r="C5" s="16" t="s">
        <v>79</v>
      </c>
      <c r="D5" s="16" t="s">
        <v>80</v>
      </c>
      <c r="E5" s="16" t="s">
        <v>81</v>
      </c>
      <c r="F5" s="16" t="s">
        <v>82</v>
      </c>
    </row>
    <row r="6" spans="1:6" x14ac:dyDescent="0.25">
      <c r="A6" s="3" t="s">
        <v>83</v>
      </c>
      <c r="B6" s="5">
        <v>0</v>
      </c>
      <c r="C6" s="21">
        <v>0</v>
      </c>
      <c r="D6" s="5">
        <v>0</v>
      </c>
      <c r="E6" s="5">
        <v>0</v>
      </c>
      <c r="F6" s="13">
        <f>D6+E6</f>
        <v>0</v>
      </c>
    </row>
    <row r="7" spans="1:6" x14ac:dyDescent="0.25">
      <c r="A7" s="3" t="s">
        <v>84</v>
      </c>
      <c r="B7" s="5">
        <v>0</v>
      </c>
      <c r="C7" s="21">
        <v>0</v>
      </c>
      <c r="D7" s="5">
        <v>0</v>
      </c>
      <c r="E7" s="5">
        <v>0</v>
      </c>
      <c r="F7" s="13">
        <f>D7+E7</f>
        <v>0</v>
      </c>
    </row>
    <row r="8" spans="1:6" x14ac:dyDescent="0.25">
      <c r="A8" s="3" t="s">
        <v>85</v>
      </c>
      <c r="B8" s="5">
        <v>0</v>
      </c>
      <c r="C8" s="21">
        <v>0</v>
      </c>
      <c r="D8" s="5">
        <v>0</v>
      </c>
      <c r="E8" s="5">
        <v>0</v>
      </c>
      <c r="F8" s="13">
        <f>D8+E8</f>
        <v>0</v>
      </c>
    </row>
    <row r="10" spans="1:6" x14ac:dyDescent="0.25">
      <c r="A10" s="6" t="s">
        <v>86</v>
      </c>
      <c r="B10" s="22">
        <f>SUM(B6:B8)</f>
        <v>0</v>
      </c>
      <c r="F10" s="22">
        <f>SUM(F6:F8)</f>
        <v>0</v>
      </c>
    </row>
    <row r="13" spans="1:6" ht="15.75" x14ac:dyDescent="0.25">
      <c r="A13" s="2" t="s">
        <v>87</v>
      </c>
    </row>
    <row r="14" spans="1:6" x14ac:dyDescent="0.25">
      <c r="A14" s="3" t="s">
        <v>88</v>
      </c>
      <c r="B14" s="23">
        <v>200000</v>
      </c>
      <c r="C14" s="8" t="s">
        <v>89</v>
      </c>
    </row>
    <row r="15" spans="1:6" x14ac:dyDescent="0.25">
      <c r="A15" s="3" t="s">
        <v>90</v>
      </c>
      <c r="B15" s="5">
        <v>0</v>
      </c>
    </row>
    <row r="16" spans="1:6" x14ac:dyDescent="0.25">
      <c r="A16" s="3" t="s">
        <v>91</v>
      </c>
      <c r="B16" s="3" t="str">
        <f>IF(B15&gt;B14,"❌ ILLEGAL: Exceeds Retained Earnings","✓ LEGAL")</f>
        <v>✓ LEGAL</v>
      </c>
    </row>
  </sheetData>
  <conditionalFormatting sqref="B15">
    <cfRule type="expression" dxfId="0" priority="1">
      <formula>$B$15&gt;$B$14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2"/>
  <sheetViews>
    <sheetView workbookViewId="0"/>
  </sheetViews>
  <sheetFormatPr defaultRowHeight="15" x14ac:dyDescent="0.25"/>
  <cols>
    <col min="1" max="9" width="14" customWidth="1"/>
  </cols>
  <sheetData>
    <row r="1" spans="1:9" ht="18.75" x14ac:dyDescent="0.3">
      <c r="A1" s="1" t="s">
        <v>92</v>
      </c>
    </row>
    <row r="2" spans="1:9" x14ac:dyDescent="0.25">
      <c r="A2" s="8" t="s">
        <v>93</v>
      </c>
    </row>
    <row r="4" spans="1:9" ht="15.75" x14ac:dyDescent="0.25">
      <c r="A4" s="2" t="s">
        <v>94</v>
      </c>
    </row>
    <row r="5" spans="1:9" x14ac:dyDescent="0.25">
      <c r="B5" s="16" t="s">
        <v>10</v>
      </c>
      <c r="C5" s="16" t="s">
        <v>11</v>
      </c>
      <c r="D5" s="16" t="s">
        <v>12</v>
      </c>
      <c r="E5" s="16" t="s">
        <v>13</v>
      </c>
      <c r="F5" s="16" t="s">
        <v>14</v>
      </c>
      <c r="G5" s="16" t="s">
        <v>15</v>
      </c>
      <c r="H5" s="16" t="s">
        <v>16</v>
      </c>
      <c r="I5" s="16" t="s">
        <v>17</v>
      </c>
    </row>
    <row r="6" spans="1:9" x14ac:dyDescent="0.25">
      <c r="A6" s="3" t="s">
        <v>78</v>
      </c>
      <c r="B6" s="13">
        <f>LIQUIDITY_MONITOR!B25</f>
        <v>0</v>
      </c>
      <c r="C6" s="13">
        <f>LIQUIDITY_MONITOR!C25</f>
        <v>0</v>
      </c>
      <c r="D6" s="13">
        <f>LIQUIDITY_MONITOR!D25</f>
        <v>0</v>
      </c>
      <c r="E6" s="13">
        <f>LIQUIDITY_MONITOR!E25</f>
        <v>0</v>
      </c>
      <c r="F6" s="13">
        <f>LIQUIDITY_MONITOR!F25</f>
        <v>0</v>
      </c>
      <c r="G6" s="13">
        <f>LIQUIDITY_MONITOR!G25</f>
        <v>0</v>
      </c>
      <c r="H6" s="13">
        <f>LIQUIDITY_MONITOR!H25</f>
        <v>0</v>
      </c>
      <c r="I6" s="13">
        <f>LIQUIDITY_MONITOR!I25</f>
        <v>0</v>
      </c>
    </row>
    <row r="9" spans="1:9" ht="15.75" x14ac:dyDescent="0.25">
      <c r="A9" s="2" t="s">
        <v>95</v>
      </c>
    </row>
    <row r="10" spans="1:9" x14ac:dyDescent="0.25">
      <c r="B10" s="16" t="s">
        <v>10</v>
      </c>
      <c r="C10" s="16" t="s">
        <v>11</v>
      </c>
      <c r="D10" s="16" t="s">
        <v>12</v>
      </c>
      <c r="E10" s="16" t="s">
        <v>13</v>
      </c>
      <c r="F10" s="16" t="s">
        <v>14</v>
      </c>
      <c r="G10" s="16" t="s">
        <v>15</v>
      </c>
      <c r="H10" s="16" t="s">
        <v>16</v>
      </c>
      <c r="I10" s="16" t="s">
        <v>17</v>
      </c>
    </row>
    <row r="11" spans="1:9" x14ac:dyDescent="0.25">
      <c r="A11" s="3" t="s">
        <v>78</v>
      </c>
      <c r="B11" s="13">
        <f>LIQUIDITY_MONITOR!B27</f>
        <v>0</v>
      </c>
      <c r="C11" s="13">
        <f>LIQUIDITY_MONITOR!C27</f>
        <v>0</v>
      </c>
      <c r="D11" s="13">
        <f>LIQUIDITY_MONITOR!D27</f>
        <v>0</v>
      </c>
      <c r="E11" s="13">
        <f>LIQUIDITY_MONITOR!E27</f>
        <v>0</v>
      </c>
      <c r="F11" s="13">
        <f>LIQUIDITY_MONITOR!F27</f>
        <v>0</v>
      </c>
      <c r="G11" s="13">
        <f>LIQUIDITY_MONITOR!G27</f>
        <v>0</v>
      </c>
      <c r="H11" s="13">
        <f>LIQUIDITY_MONITOR!H27</f>
        <v>0</v>
      </c>
      <c r="I11" s="13">
        <f>LIQUIDITY_MONITOR!I27</f>
        <v>0</v>
      </c>
    </row>
    <row r="14" spans="1:9" ht="15.75" x14ac:dyDescent="0.25">
      <c r="A14" s="2" t="s">
        <v>96</v>
      </c>
    </row>
    <row r="15" spans="1:9" x14ac:dyDescent="0.25">
      <c r="A15" s="16" t="s">
        <v>97</v>
      </c>
      <c r="B15" s="16" t="s">
        <v>78</v>
      </c>
      <c r="C15" s="16" t="s">
        <v>98</v>
      </c>
      <c r="D15" s="16" t="s">
        <v>99</v>
      </c>
    </row>
    <row r="16" spans="1:9" x14ac:dyDescent="0.25">
      <c r="A16" s="3" t="s">
        <v>83</v>
      </c>
      <c r="B16" s="3">
        <f>DEBT_MANAGER!B6</f>
        <v>0</v>
      </c>
      <c r="C16" s="3">
        <f>DEBT_MANAGER!D6</f>
        <v>0</v>
      </c>
      <c r="D16" s="3">
        <f>DEBT_MANAGER!E6</f>
        <v>0</v>
      </c>
    </row>
    <row r="17" spans="1:9" x14ac:dyDescent="0.25">
      <c r="A17" s="3" t="s">
        <v>84</v>
      </c>
      <c r="B17" s="3">
        <f>DEBT_MANAGER!B7</f>
        <v>0</v>
      </c>
      <c r="C17" s="3">
        <f>DEBT_MANAGER!D7</f>
        <v>0</v>
      </c>
      <c r="D17" s="3">
        <f>DEBT_MANAGER!E7</f>
        <v>0</v>
      </c>
    </row>
    <row r="18" spans="1:9" x14ac:dyDescent="0.25">
      <c r="A18" s="3" t="s">
        <v>85</v>
      </c>
      <c r="B18" s="3">
        <f>DEBT_MANAGER!B8</f>
        <v>0</v>
      </c>
      <c r="C18" s="3">
        <f>DEBT_MANAGER!D8</f>
        <v>0</v>
      </c>
      <c r="D18" s="3">
        <f>DEBT_MANAGER!E8</f>
        <v>0</v>
      </c>
    </row>
    <row r="21" spans="1:9" ht="15.75" x14ac:dyDescent="0.25">
      <c r="A21" s="2" t="s">
        <v>100</v>
      </c>
    </row>
    <row r="22" spans="1:9" x14ac:dyDescent="0.25">
      <c r="B22" s="13">
        <f>LIQUIDITY_MONITOR!B29</f>
        <v>0</v>
      </c>
      <c r="C22" s="13">
        <f>LIQUIDITY_MONITOR!C29</f>
        <v>0</v>
      </c>
      <c r="D22" s="13">
        <f>LIQUIDITY_MONITOR!D29</f>
        <v>0</v>
      </c>
      <c r="E22" s="13">
        <f>LIQUIDITY_MONITOR!E29</f>
        <v>0</v>
      </c>
      <c r="F22" s="13">
        <f>LIQUIDITY_MONITOR!F29</f>
        <v>0</v>
      </c>
      <c r="G22" s="13">
        <f>LIQUIDITY_MONITOR!G29</f>
        <v>0</v>
      </c>
      <c r="H22" s="13">
        <f>LIQUIDITY_MONITOR!H29</f>
        <v>0</v>
      </c>
      <c r="I22" s="13">
        <f>LIQUIDITY_MONITOR!I29</f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2"/>
  <sheetViews>
    <sheetView workbookViewId="0"/>
  </sheetViews>
  <sheetFormatPr defaultRowHeight="15" x14ac:dyDescent="0.25"/>
  <cols>
    <col min="1" max="2" width="35" customWidth="1"/>
  </cols>
  <sheetData>
    <row r="1" spans="1:2" ht="18.75" x14ac:dyDescent="0.3">
      <c r="A1" s="1" t="s">
        <v>101</v>
      </c>
    </row>
    <row r="2" spans="1:2" x14ac:dyDescent="0.25">
      <c r="A2" s="8" t="s">
        <v>102</v>
      </c>
    </row>
    <row r="4" spans="1:2" x14ac:dyDescent="0.25">
      <c r="A4" s="24" t="s">
        <v>103</v>
      </c>
    </row>
    <row r="5" spans="1:2" x14ac:dyDescent="0.25">
      <c r="A5" s="3" t="s">
        <v>104</v>
      </c>
      <c r="B5" s="4">
        <v>0</v>
      </c>
    </row>
    <row r="6" spans="1:2" x14ac:dyDescent="0.25">
      <c r="A6" s="3" t="s">
        <v>105</v>
      </c>
      <c r="B6" s="4">
        <v>0</v>
      </c>
    </row>
    <row r="7" spans="1:2" x14ac:dyDescent="0.25">
      <c r="A7" s="3" t="s">
        <v>106</v>
      </c>
      <c r="B7" s="4">
        <v>0</v>
      </c>
    </row>
    <row r="9" spans="1:2" x14ac:dyDescent="0.25">
      <c r="A9" s="25" t="s">
        <v>107</v>
      </c>
    </row>
    <row r="10" spans="1:2" x14ac:dyDescent="0.25">
      <c r="A10" s="3" t="s">
        <v>108</v>
      </c>
      <c r="B10" s="26">
        <v>0</v>
      </c>
    </row>
    <row r="11" spans="1:2" x14ac:dyDescent="0.25">
      <c r="A11" s="3" t="s">
        <v>109</v>
      </c>
      <c r="B11" s="27">
        <v>40</v>
      </c>
    </row>
    <row r="12" spans="1:2" x14ac:dyDescent="0.25">
      <c r="A12" s="3" t="s">
        <v>110</v>
      </c>
      <c r="B12" s="15">
        <v>0.85</v>
      </c>
    </row>
    <row r="14" spans="1:2" x14ac:dyDescent="0.25">
      <c r="A14" s="28" t="s">
        <v>111</v>
      </c>
    </row>
    <row r="15" spans="1:2" x14ac:dyDescent="0.25">
      <c r="A15" s="3" t="s">
        <v>112</v>
      </c>
      <c r="B15" s="4">
        <v>0</v>
      </c>
    </row>
    <row r="16" spans="1:2" x14ac:dyDescent="0.25">
      <c r="A16" s="3" t="s">
        <v>113</v>
      </c>
      <c r="B16" s="4">
        <v>0</v>
      </c>
    </row>
    <row r="17" spans="1:2" x14ac:dyDescent="0.25">
      <c r="A17" s="3" t="s">
        <v>114</v>
      </c>
      <c r="B17" s="4">
        <v>0</v>
      </c>
    </row>
    <row r="18" spans="1:2" x14ac:dyDescent="0.25">
      <c r="A18" s="3" t="s">
        <v>115</v>
      </c>
      <c r="B18" s="4">
        <v>0</v>
      </c>
    </row>
    <row r="20" spans="1:2" x14ac:dyDescent="0.25">
      <c r="A20" s="29" t="s">
        <v>116</v>
      </c>
    </row>
    <row r="21" spans="1:2" x14ac:dyDescent="0.25">
      <c r="A21" s="3" t="s">
        <v>117</v>
      </c>
      <c r="B21" s="26">
        <v>0</v>
      </c>
    </row>
    <row r="22" spans="1:2" x14ac:dyDescent="0.25">
      <c r="A22" s="3" t="s">
        <v>118</v>
      </c>
      <c r="B22" s="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LIQUIDITY_MONITOR</vt:lpstr>
      <vt:lpstr>PROFIT_CONTROL</vt:lpstr>
      <vt:lpstr>BALANCE_SHEET_HEALTH</vt:lpstr>
      <vt:lpstr>DEBT_MANAGER</vt:lpstr>
      <vt:lpstr>UPLOAD_READY_FINANCE</vt:lpstr>
      <vt:lpstr>CROSS_REFERENCE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Lichtenstein, Harel</cp:lastModifiedBy>
  <dcterms:created xsi:type="dcterms:W3CDTF">2026-01-05T13:43:47Z</dcterms:created>
  <dcterms:modified xsi:type="dcterms:W3CDTF">2026-01-05T13:44:53Z</dcterms:modified>
</cp:coreProperties>
</file>