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Online Downloads/"/>
    </mc:Choice>
  </mc:AlternateContent>
  <xr:revisionPtr revIDLastSave="6" documentId="11_6A368936E7822BA1EB7490DE0F8E89A8443E02FE" xr6:coauthVersionLast="47" xr6:coauthVersionMax="47" xr10:uidLastSave="{278D6037-616C-4204-8F1E-997E6E725A1C}"/>
  <bookViews>
    <workbookView minimized="1" xWindow="21285" yWindow="1200" windowWidth="26400" windowHeight="18030" activeTab="4" xr2:uid="{00000000-000D-0000-FFFF-FFFF00000000}"/>
  </bookViews>
  <sheets>
    <sheet name="SEGMENT PULSE" sheetId="1" r:id="rId1"/>
    <sheet name="INNOVATION LAB" sheetId="2" r:id="rId2"/>
    <sheet name="STRATEGY COCKPIT" sheetId="3" r:id="rId3"/>
    <sheet name="UPLOAD READY MARKETING" sheetId="4" r:id="rId4"/>
    <sheet name="UPLOAD READY INNOVATION" sheetId="5" r:id="rId5"/>
    <sheet name="CROSS REFERENC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F30" i="3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E11" i="4"/>
  <c r="D11" i="4"/>
  <c r="P10" i="4"/>
  <c r="O10" i="4"/>
  <c r="L10" i="4"/>
  <c r="H10" i="4"/>
  <c r="E10" i="4"/>
  <c r="D10" i="4"/>
  <c r="P9" i="4"/>
  <c r="O9" i="4"/>
  <c r="L9" i="4"/>
  <c r="H9" i="4"/>
  <c r="E9" i="4"/>
  <c r="D9" i="4"/>
  <c r="P8" i="4"/>
  <c r="O8" i="4"/>
  <c r="L8" i="4"/>
  <c r="H8" i="4"/>
  <c r="E8" i="4"/>
  <c r="D8" i="4"/>
  <c r="P7" i="4"/>
  <c r="O7" i="4"/>
  <c r="L7" i="4"/>
  <c r="H7" i="4"/>
  <c r="E7" i="4"/>
  <c r="D7" i="4"/>
  <c r="P6" i="4"/>
  <c r="O6" i="4"/>
  <c r="L6" i="4"/>
  <c r="H6" i="4"/>
  <c r="E6" i="4"/>
  <c r="D6" i="4"/>
  <c r="J20" i="3"/>
  <c r="K20" i="3" s="1"/>
  <c r="M20" i="3" s="1"/>
  <c r="L19" i="3"/>
  <c r="J19" i="3"/>
  <c r="K19" i="3" s="1"/>
  <c r="M19" i="3" s="1"/>
  <c r="L18" i="3"/>
  <c r="J18" i="3"/>
  <c r="K18" i="3" s="1"/>
  <c r="M18" i="3" s="1"/>
  <c r="L17" i="3"/>
  <c r="J17" i="3"/>
  <c r="K17" i="3" s="1"/>
  <c r="M17" i="3" s="1"/>
  <c r="J16" i="3"/>
  <c r="K16" i="3" s="1"/>
  <c r="C9" i="3"/>
  <c r="L20" i="3" s="1"/>
  <c r="C20" i="2"/>
  <c r="L16" i="3" l="1"/>
  <c r="M16" i="3" s="1"/>
</calcChain>
</file>

<file path=xl/sharedStrings.xml><?xml version="1.0" encoding="utf-8"?>
<sst xmlns="http://schemas.openxmlformats.org/spreadsheetml/2006/main" count="222" uniqueCount="111">
  <si>
    <t>SEGMENT PULSE - Market Allocation Drivers</t>
  </si>
  <si>
    <t>Normal Demand Expected</t>
  </si>
  <si>
    <t>COMPETITIVE POSITIONING</t>
  </si>
  <si>
    <t>HIGH SEGMENT ANALYSIS</t>
  </si>
  <si>
    <t>Entity</t>
  </si>
  <si>
    <t>Price</t>
  </si>
  <si>
    <t>Attractiveness</t>
  </si>
  <si>
    <t>Zone</t>
  </si>
  <si>
    <t>My Market Share</t>
  </si>
  <si>
    <t>Est. Demand</t>
  </si>
  <si>
    <t>Awareness Gap</t>
  </si>
  <si>
    <t>Price Gap</t>
  </si>
  <si>
    <t>Allocation Flag</t>
  </si>
  <si>
    <t>My Product</t>
  </si>
  <si>
    <t>Center</t>
  </si>
  <si>
    <t>OK</t>
  </si>
  <si>
    <t>Competitors</t>
  </si>
  <si>
    <t>West</t>
  </si>
  <si>
    <t>North</t>
  </si>
  <si>
    <t>East</t>
  </si>
  <si>
    <t>NO PRESENCE: Zone Not Active</t>
  </si>
  <si>
    <t>South</t>
  </si>
  <si>
    <t>LOW SEGMENT ANALYSIS</t>
  </si>
  <si>
    <t>RISK: Losing Volume to Price</t>
  </si>
  <si>
    <t>HIGH vs LOW SEGMENT GAP</t>
  </si>
  <si>
    <t>Metric</t>
  </si>
  <si>
    <t>High Segment</t>
  </si>
  <si>
    <t>Low Segment</t>
  </si>
  <si>
    <t>Awareness</t>
  </si>
  <si>
    <t>Price Competitiveness</t>
  </si>
  <si>
    <t>INNOVATION LAB - Feature Selection</t>
  </si>
  <si>
    <t>Note: Innovations increase Attractiveness. Required for High Segment Allocation.</t>
  </si>
  <si>
    <t>Feature Name</t>
  </si>
  <si>
    <t>Decision (1=Yes)</t>
  </si>
  <si>
    <t>Est. Cost ($)</t>
  </si>
  <si>
    <t>Cost Details</t>
  </si>
  <si>
    <t>STAINLESS MATERIAL</t>
  </si>
  <si>
    <t>$15,000 + $0.15/unit</t>
  </si>
  <si>
    <t>RECYCLABLE MATERIALS</t>
  </si>
  <si>
    <t>$30,000 + $0.15/unit</t>
  </si>
  <si>
    <t>ENERGY EFFICIENCY</t>
  </si>
  <si>
    <t>LIGHTER AND MORE COMPACT</t>
  </si>
  <si>
    <t>$30,000 + $0.30/unit</t>
  </si>
  <si>
    <t>IMPACT RESISTANCE</t>
  </si>
  <si>
    <t>NOISE REDUCTION</t>
  </si>
  <si>
    <t>$45,000 + $0.30/unit</t>
  </si>
  <si>
    <t>IMPROVED BATTERY CAPACITY</t>
  </si>
  <si>
    <t>$45,000 + $0.45/unit</t>
  </si>
  <si>
    <t>SELF-CLEANING</t>
  </si>
  <si>
    <t>SPEED SETTINGS</t>
  </si>
  <si>
    <t>DIGITAL CONTROLS</t>
  </si>
  <si>
    <t>VOICE ASSISTANCE INTEGRATION</t>
  </si>
  <si>
    <t>$45,000 + $0.75/unit</t>
  </si>
  <si>
    <t>AUTOMATION AND PROGRAMMABILITY</t>
  </si>
  <si>
    <t>MULTIFUNCTIONAL ACCESSORIES</t>
  </si>
  <si>
    <t>$100,000 + $1.00/unit</t>
  </si>
  <si>
    <t>MAPPING TECHNOLOGY</t>
  </si>
  <si>
    <t>TOTAL INNOVATION COST</t>
  </si>
  <si>
    <t>UNIT ECONOMICS CHEAT SHEET</t>
  </si>
  <si>
    <t>TV Cost/Spot</t>
  </si>
  <si>
    <t>Radio Cost/Spot</t>
  </si>
  <si>
    <t>Hiring Fee</t>
  </si>
  <si>
    <t>Salary/Person</t>
  </si>
  <si>
    <t>HOW TO USE: Adjust Yellow cells. Check Profit Projection. Go to UPLOAD_READY tabs to copy decisions.</t>
  </si>
  <si>
    <t>SECTION A: GLOBAL ALLOCATIONS</t>
  </si>
  <si>
    <t>TV Spots (Qty)</t>
  </si>
  <si>
    <t>Brand Focus (0-100)</t>
  </si>
  <si>
    <t>0=Awareness focus, 100=Attributes focus</t>
  </si>
  <si>
    <t>SECTION B: ZONAL ALLOCATIONS</t>
  </si>
  <si>
    <t>Last Sales</t>
  </si>
  <si>
    <t>Stockout?</t>
  </si>
  <si>
    <t>Target Demand</t>
  </si>
  <si>
    <t>Radio Spots (Qty)</t>
  </si>
  <si>
    <t>Headcount</t>
  </si>
  <si>
    <t>Avg Comp Price</t>
  </si>
  <si>
    <t>Payment</t>
  </si>
  <si>
    <t>A/R Discount%</t>
  </si>
  <si>
    <t>Est. Revenue</t>
  </si>
  <si>
    <t>Mkt Cost</t>
  </si>
  <si>
    <t>Contribution</t>
  </si>
  <si>
    <t>MARKETING DECISIONS - ExSim Upload Format</t>
  </si>
  <si>
    <t>Copy these values to ExSim Marketing upload</t>
  </si>
  <si>
    <t>Marketing Campaigns</t>
  </si>
  <si>
    <t>Demand</t>
  </si>
  <si>
    <t>Pricing Strategy</t>
  </si>
  <si>
    <t>Channels</t>
  </si>
  <si>
    <t>Brand</t>
  </si>
  <si>
    <t>Channel</t>
  </si>
  <si>
    <t>Amount</t>
  </si>
  <si>
    <t>Brand Focus</t>
  </si>
  <si>
    <t>Salespeople</t>
  </si>
  <si>
    <t>A</t>
  </si>
  <si>
    <t>All</t>
  </si>
  <si>
    <t>TV</t>
  </si>
  <si>
    <t>Radio</t>
  </si>
  <si>
    <t>INNOVATION DECISIONS - ExSim Upload Format</t>
  </si>
  <si>
    <t>Copy these values to ExSim Innovation upload</t>
  </si>
  <si>
    <t>Improvement</t>
  </si>
  <si>
    <t>Value</t>
  </si>
  <si>
    <t>CROSS-REFERENCE SUMMARY - Upstream Support</t>
  </si>
  <si>
    <t>Key metrics from Production and Finance.</t>
  </si>
  <si>
    <t>Production (Capacity)</t>
  </si>
  <si>
    <t>Production Plan (Total Units)</t>
  </si>
  <si>
    <t>0</t>
  </si>
  <si>
    <t>Avg Capacity Utilization</t>
  </si>
  <si>
    <t>85.0%</t>
  </si>
  <si>
    <t>Finance (Budget)</t>
  </si>
  <si>
    <t>Budget Status</t>
  </si>
  <si>
    <t>Check Finance Dashboard</t>
  </si>
  <si>
    <t>Liquidity Status</t>
  </si>
  <si>
    <t>🟡 Excess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</si>
</sst>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\$#,##0"/>
    <numFmt numFmtId="167" formatCode="\$#,##0.00"/>
  </numFmts>
  <fonts count="8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006100"/>
      <name val="Calibri"/>
    </font>
    <font>
      <b/>
      <sz val="12"/>
      <color rgb="FF2F5496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666666"/>
      <name val="Calibri"/>
    </font>
    <font>
      <b/>
      <i/>
      <sz val="11"/>
      <color rgb="FF666666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/>
    <xf numFmtId="0" fontId="0" fillId="0" borderId="1" xfId="0" applyBorder="1"/>
    <xf numFmtId="166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0" fontId="0" fillId="4" borderId="1" xfId="0" applyFill="1" applyBorder="1"/>
    <xf numFmtId="165" fontId="0" fillId="0" borderId="1" xfId="0" applyNumberFormat="1" applyBorder="1"/>
    <xf numFmtId="0" fontId="5" fillId="2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6" fillId="0" borderId="0" xfId="0" applyFont="1"/>
    <xf numFmtId="0" fontId="0" fillId="7" borderId="1" xfId="0" applyFill="1" applyBorder="1" applyAlignment="1">
      <alignment horizontal="center"/>
    </xf>
    <xf numFmtId="166" fontId="0" fillId="7" borderId="1" xfId="0" applyNumberFormat="1" applyFill="1" applyBorder="1"/>
    <xf numFmtId="0" fontId="6" fillId="0" borderId="1" xfId="0" applyFont="1" applyBorder="1"/>
    <xf numFmtId="0" fontId="5" fillId="0" borderId="0" xfId="0" applyFont="1"/>
    <xf numFmtId="166" fontId="5" fillId="8" borderId="0" xfId="0" applyNumberFormat="1" applyFont="1" applyFill="1"/>
    <xf numFmtId="0" fontId="7" fillId="9" borderId="0" xfId="0" applyFont="1" applyFill="1"/>
    <xf numFmtId="166" fontId="5" fillId="9" borderId="0" xfId="0" applyNumberFormat="1" applyFont="1" applyFill="1"/>
    <xf numFmtId="0" fontId="0" fillId="7" borderId="1" xfId="0" applyFill="1" applyBorder="1"/>
    <xf numFmtId="166" fontId="0" fillId="8" borderId="1" xfId="0" applyNumberFormat="1" applyFill="1" applyBorder="1"/>
    <xf numFmtId="0" fontId="4" fillId="3" borderId="1" xfId="0" applyFont="1" applyFill="1" applyBorder="1" applyAlignment="1">
      <alignment horizontal="center" wrapText="1"/>
    </xf>
    <xf numFmtId="3" fontId="0" fillId="5" borderId="1" xfId="0" applyNumberFormat="1" applyFill="1" applyBorder="1"/>
    <xf numFmtId="0" fontId="0" fillId="5" borderId="1" xfId="0" applyFill="1" applyBorder="1"/>
    <xf numFmtId="167" fontId="0" fillId="5" borderId="1" xfId="0" applyNumberFormat="1" applyFill="1" applyBorder="1"/>
    <xf numFmtId="165" fontId="0" fillId="8" borderId="1" xfId="0" applyNumberFormat="1" applyFill="1" applyBorder="1"/>
    <xf numFmtId="166" fontId="0" fillId="2" borderId="1" xfId="0" applyNumberFormat="1" applyFill="1" applyBorder="1"/>
    <xf numFmtId="0" fontId="4" fillId="3" borderId="0" xfId="0" applyFont="1" applyFill="1"/>
    <xf numFmtId="0" fontId="4" fillId="10" borderId="0" xfId="0" applyFont="1" applyFill="1"/>
    <xf numFmtId="0" fontId="4" fillId="11" borderId="0" xfId="0" applyFont="1" applyFill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FFC7CE"/>
          <bgColor rgb="FFFFC7CE"/>
        </patternFill>
      </fill>
    </dxf>
    <dxf>
      <font>
        <b/>
        <color rgb="FF9C0006"/>
      </font>
    </dxf>
    <dxf>
      <font>
        <b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Competitive Positioning Matrix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My Product</c:v>
          </c:tx>
          <c:spPr>
            <a:ln>
              <a:prstDash val="solid"/>
            </a:ln>
          </c:spPr>
          <c:marker>
            <c:symbol val="circle"/>
            <c:size val="12"/>
            <c:spPr>
              <a:ln>
                <a:prstDash val="solid"/>
              </a:ln>
            </c:spPr>
          </c:marker>
          <c:xVal>
            <c:numRef>
              <c:f>'SEGMENT PULSE'!$I$4</c:f>
              <c:numCache>
                <c:formatCode>\$#,##0</c:formatCode>
                <c:ptCount val="1"/>
                <c:pt idx="0">
                  <c:v>53</c:v>
                </c:pt>
              </c:numCache>
            </c:numRef>
          </c:xVal>
          <c:yVal>
            <c:numRef>
              <c:f>'SEGMENT PULSE'!$J$4</c:f>
              <c:numCache>
                <c:formatCode>General</c:formatCode>
                <c:ptCount val="1"/>
                <c:pt idx="0">
                  <c:v>45.909363351760838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F3-47B9-A9B9-367F9C7B5FB2}"/>
            </c:ext>
          </c:extLst>
        </c:ser>
        <c:ser>
          <c:idx val="1"/>
          <c:order val="1"/>
          <c:tx>
            <c:v>Competitors</c:v>
          </c:tx>
          <c:spPr>
            <a:ln>
              <a:prstDash val="solid"/>
            </a:ln>
          </c:spPr>
          <c:marker>
            <c:symbol val="diamond"/>
            <c:size val="12"/>
            <c:spPr>
              <a:ln>
                <a:prstDash val="solid"/>
              </a:ln>
            </c:spPr>
          </c:marker>
          <c:xVal>
            <c:numRef>
              <c:f>'SEGMENT PULSE'!$I$5</c:f>
              <c:numCache>
                <c:formatCode>\$#,##0</c:formatCode>
                <c:ptCount val="1"/>
                <c:pt idx="0">
                  <c:v>55</c:v>
                </c:pt>
              </c:numCache>
            </c:numRef>
          </c:xVal>
          <c:yVal>
            <c:numRef>
              <c:f>'SEGMENT PULSE'!$J$5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F3-47B9-A9B9-367F9C7B5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Attractiveness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High vs Low Segment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'SEGMENT PULSE'!$I$26</c:f>
              <c:strCache>
                <c:ptCount val="1"/>
                <c:pt idx="0">
                  <c:v>High Segment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'SEGMENT PULSE'!$H$27:$H$29</c:f>
              <c:strCache>
                <c:ptCount val="3"/>
                <c:pt idx="0">
                  <c:v>Awareness</c:v>
                </c:pt>
                <c:pt idx="1">
                  <c:v>Price Competitiveness</c:v>
                </c:pt>
                <c:pt idx="2">
                  <c:v>Attractiveness</c:v>
                </c:pt>
              </c:strCache>
            </c:strRef>
          </c:cat>
          <c:val>
            <c:numRef>
              <c:f>'SEGMENT PULSE'!$I$27:$I$29</c:f>
              <c:numCache>
                <c:formatCode>General</c:formatCode>
                <c:ptCount val="3"/>
                <c:pt idx="0">
                  <c:v>39.075562042207657</c:v>
                </c:pt>
                <c:pt idx="1">
                  <c:v>99.516058587823906</c:v>
                </c:pt>
                <c:pt idx="2">
                  <c:v>45.909363351760838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2-4123-8A70-7F2616D73A11}"/>
            </c:ext>
          </c:extLst>
        </c:ser>
        <c:ser>
          <c:idx val="1"/>
          <c:order val="1"/>
          <c:tx>
            <c:strRef>
              <c:f>'SEGMENT PULSE'!$J$26</c:f>
              <c:strCache>
                <c:ptCount val="1"/>
                <c:pt idx="0">
                  <c:v>Low Segment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'SEGMENT PULSE'!$H$27:$H$29</c:f>
              <c:strCache>
                <c:ptCount val="3"/>
                <c:pt idx="0">
                  <c:v>Awareness</c:v>
                </c:pt>
                <c:pt idx="1">
                  <c:v>Price Competitiveness</c:v>
                </c:pt>
                <c:pt idx="2">
                  <c:v>Attractiveness</c:v>
                </c:pt>
              </c:strCache>
            </c:strRef>
          </c:cat>
          <c:val>
            <c:numRef>
              <c:f>'SEGMENT PULSE'!$J$27:$J$29</c:f>
              <c:numCache>
                <c:formatCode>General</c:formatCode>
                <c:ptCount val="3"/>
                <c:pt idx="0">
                  <c:v>39.075562042207657</c:v>
                </c:pt>
                <c:pt idx="1">
                  <c:v>99.516058587823906</c:v>
                </c:pt>
                <c:pt idx="2">
                  <c:v>45.909363351760838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2-4123-8A70-7F2616D73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43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30</xdr:row>
      <xdr:rowOff>0</xdr:rowOff>
    </xdr:from>
    <xdr:ext cx="43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NOVATION_LA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NOVATION_LAB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opLeftCell="A15" workbookViewId="0"/>
  </sheetViews>
  <sheetFormatPr defaultRowHeight="15" x14ac:dyDescent="0.25"/>
  <cols>
    <col min="1" max="1" width="12" customWidth="1"/>
    <col min="2" max="2" width="16" customWidth="1"/>
    <col min="3" max="4" width="14" customWidth="1"/>
    <col min="5" max="5" width="12" customWidth="1"/>
    <col min="6" max="6" width="14" customWidth="1"/>
    <col min="7" max="7" width="32" customWidth="1"/>
    <col min="8" max="8" width="18" customWidth="1"/>
    <col min="9" max="10" width="14" customWidth="1"/>
  </cols>
  <sheetData>
    <row r="1" spans="1:10" ht="18.75" x14ac:dyDescent="0.3">
      <c r="A1" s="1" t="s">
        <v>0</v>
      </c>
      <c r="E1" s="2" t="s">
        <v>1</v>
      </c>
      <c r="H1" s="3" t="s">
        <v>2</v>
      </c>
    </row>
    <row r="3" spans="1:10" ht="15.75" x14ac:dyDescent="0.25">
      <c r="A3" s="3" t="s">
        <v>3</v>
      </c>
      <c r="H3" s="4" t="s">
        <v>4</v>
      </c>
      <c r="I3" s="4" t="s">
        <v>5</v>
      </c>
      <c r="J3" s="4" t="s">
        <v>6</v>
      </c>
    </row>
    <row r="4" spans="1:10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6</v>
      </c>
      <c r="G4" s="4" t="s">
        <v>12</v>
      </c>
      <c r="H4" s="5" t="s">
        <v>13</v>
      </c>
      <c r="I4" s="6">
        <v>53</v>
      </c>
      <c r="J4" s="5">
        <v>45.909363351760838</v>
      </c>
    </row>
    <row r="5" spans="1:10" x14ac:dyDescent="0.25">
      <c r="A5" s="5" t="s">
        <v>14</v>
      </c>
      <c r="B5" s="7">
        <v>19.407453428836622</v>
      </c>
      <c r="C5" s="8">
        <v>6831.4236069504896</v>
      </c>
      <c r="D5" s="9">
        <v>-26.064971835465151</v>
      </c>
      <c r="E5" s="10">
        <v>0.24561403508771931</v>
      </c>
      <c r="F5" s="5">
        <v>65.870526664273967</v>
      </c>
      <c r="G5" s="11" t="s">
        <v>15</v>
      </c>
      <c r="H5" s="5" t="s">
        <v>16</v>
      </c>
      <c r="I5" s="6">
        <v>55</v>
      </c>
      <c r="J5" s="5">
        <v>0</v>
      </c>
    </row>
    <row r="6" spans="1:10" x14ac:dyDescent="0.25">
      <c r="A6" s="5" t="s">
        <v>17</v>
      </c>
      <c r="B6" s="7">
        <v>34.883339611570619</v>
      </c>
      <c r="C6" s="8">
        <v>8372.0015067769491</v>
      </c>
      <c r="D6" s="5">
        <v>18.115448190481828</v>
      </c>
      <c r="E6" s="10">
        <v>-0.37984496124031009</v>
      </c>
      <c r="F6" s="5">
        <v>55.693342230474627</v>
      </c>
      <c r="G6" s="11" t="s">
        <v>15</v>
      </c>
    </row>
    <row r="7" spans="1:10" x14ac:dyDescent="0.25">
      <c r="A7" s="5" t="s">
        <v>18</v>
      </c>
      <c r="B7" s="7">
        <v>34.901803715612907</v>
      </c>
      <c r="C7" s="8">
        <v>6840.7535282601302</v>
      </c>
      <c r="D7" s="5">
        <v>22.591987429431128</v>
      </c>
      <c r="E7" s="10">
        <v>-4.6511627906976737E-2</v>
      </c>
      <c r="F7" s="5">
        <v>58.07171246442018</v>
      </c>
      <c r="G7" s="11" t="s">
        <v>15</v>
      </c>
    </row>
    <row r="8" spans="1:10" x14ac:dyDescent="0.25">
      <c r="A8" s="5" t="s">
        <v>19</v>
      </c>
      <c r="B8" s="10">
        <v>0</v>
      </c>
      <c r="C8" s="8">
        <v>0</v>
      </c>
      <c r="D8" s="5">
        <v>0</v>
      </c>
      <c r="E8" s="10">
        <v>0</v>
      </c>
      <c r="F8" s="5">
        <v>0</v>
      </c>
      <c r="G8" s="12" t="s">
        <v>20</v>
      </c>
    </row>
    <row r="9" spans="1:10" x14ac:dyDescent="0.25">
      <c r="A9" s="5" t="s">
        <v>21</v>
      </c>
      <c r="B9" s="10">
        <v>0</v>
      </c>
      <c r="C9" s="8">
        <v>0</v>
      </c>
      <c r="D9" s="5">
        <v>0</v>
      </c>
      <c r="E9" s="10">
        <v>0</v>
      </c>
      <c r="F9" s="5">
        <v>0</v>
      </c>
      <c r="G9" s="12" t="s">
        <v>20</v>
      </c>
    </row>
    <row r="12" spans="1:10" ht="15.75" x14ac:dyDescent="0.25">
      <c r="A12" s="3" t="s">
        <v>22</v>
      </c>
    </row>
    <row r="13" spans="1:10" x14ac:dyDescent="0.25">
      <c r="A13" s="4" t="s">
        <v>7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6</v>
      </c>
      <c r="G13" s="4" t="s">
        <v>12</v>
      </c>
    </row>
    <row r="14" spans="1:10" x14ac:dyDescent="0.25">
      <c r="A14" s="5" t="s">
        <v>14</v>
      </c>
      <c r="B14" s="7">
        <v>17.054727419619429</v>
      </c>
      <c r="C14" s="8">
        <v>12756.936109875331</v>
      </c>
      <c r="D14" s="5">
        <v>0.53825855636756614</v>
      </c>
      <c r="E14" s="10">
        <v>0.71604938271604934</v>
      </c>
      <c r="F14" s="5">
        <v>89.511118577173931</v>
      </c>
      <c r="G14" s="13" t="s">
        <v>23</v>
      </c>
    </row>
    <row r="15" spans="1:10" x14ac:dyDescent="0.25">
      <c r="A15" s="5" t="s">
        <v>17</v>
      </c>
      <c r="B15" s="7">
        <v>11.6415138749233</v>
      </c>
      <c r="C15" s="8">
        <v>5937.1720762108853</v>
      </c>
      <c r="D15" s="9">
        <v>-10.24789234887491</v>
      </c>
      <c r="E15" s="10">
        <v>0.1466666666666667</v>
      </c>
      <c r="F15" s="5">
        <v>65.26902022128229</v>
      </c>
      <c r="G15" s="13" t="s">
        <v>23</v>
      </c>
    </row>
    <row r="16" spans="1:10" x14ac:dyDescent="0.25">
      <c r="A16" s="5" t="s">
        <v>18</v>
      </c>
      <c r="B16" s="7">
        <v>12.85955673070351</v>
      </c>
      <c r="C16" s="8">
        <v>6481.216592274568</v>
      </c>
      <c r="D16" s="5">
        <v>9.2327139396370868</v>
      </c>
      <c r="E16" s="10">
        <v>8.4033613445378148E-3</v>
      </c>
      <c r="F16" s="5">
        <v>89.031773728878193</v>
      </c>
      <c r="G16" s="11" t="s">
        <v>15</v>
      </c>
    </row>
    <row r="17" spans="1:10" x14ac:dyDescent="0.25">
      <c r="A17" s="5" t="s">
        <v>19</v>
      </c>
      <c r="B17" s="10">
        <v>0</v>
      </c>
      <c r="C17" s="8">
        <v>0</v>
      </c>
      <c r="D17" s="5">
        <v>0</v>
      </c>
      <c r="E17" s="10">
        <v>0</v>
      </c>
      <c r="F17" s="5">
        <v>0</v>
      </c>
      <c r="G17" s="12" t="s">
        <v>20</v>
      </c>
    </row>
    <row r="18" spans="1:10" x14ac:dyDescent="0.25">
      <c r="A18" s="5" t="s">
        <v>21</v>
      </c>
      <c r="B18" s="10">
        <v>0</v>
      </c>
      <c r="C18" s="8">
        <v>0</v>
      </c>
      <c r="D18" s="5">
        <v>0</v>
      </c>
      <c r="E18" s="10">
        <v>0</v>
      </c>
      <c r="F18" s="5">
        <v>0</v>
      </c>
      <c r="G18" s="12" t="s">
        <v>20</v>
      </c>
    </row>
    <row r="24" spans="1:10" ht="15.75" x14ac:dyDescent="0.25">
      <c r="H24" s="3" t="s">
        <v>24</v>
      </c>
    </row>
    <row r="26" spans="1:10" x14ac:dyDescent="0.25">
      <c r="H26" s="4" t="s">
        <v>25</v>
      </c>
      <c r="I26" s="4" t="s">
        <v>26</v>
      </c>
      <c r="J26" s="4" t="s">
        <v>27</v>
      </c>
    </row>
    <row r="27" spans="1:10" x14ac:dyDescent="0.25">
      <c r="H27" s="5" t="s">
        <v>28</v>
      </c>
      <c r="I27" s="5">
        <v>39.075562042207657</v>
      </c>
      <c r="J27" s="5">
        <v>39.075562042207657</v>
      </c>
    </row>
    <row r="28" spans="1:10" x14ac:dyDescent="0.25">
      <c r="H28" s="5" t="s">
        <v>29</v>
      </c>
      <c r="I28" s="5">
        <v>99.516058587823906</v>
      </c>
      <c r="J28" s="5">
        <v>99.516058587823906</v>
      </c>
    </row>
    <row r="29" spans="1:10" x14ac:dyDescent="0.25">
      <c r="H29" s="5" t="s">
        <v>6</v>
      </c>
      <c r="I29" s="5">
        <v>45.909363351760838</v>
      </c>
      <c r="J29" s="5">
        <v>45.909363351760838</v>
      </c>
    </row>
  </sheetData>
  <conditionalFormatting sqref="B5:B9">
    <cfRule type="dataBar" priority="1">
      <dataBar>
        <cfvo type="num" val="0"/>
        <cfvo type="num" val="50"/>
        <color rgb="FF63C384"/>
      </dataBar>
    </cfRule>
  </conditionalFormatting>
  <conditionalFormatting sqref="B14:B18">
    <cfRule type="dataBar" priority="2">
      <dataBar>
        <cfvo type="num" val="0"/>
        <cfvo type="num" val="50"/>
        <color rgb="FF63C384"/>
      </dataBar>
    </cfRule>
  </conditionalFormatting>
  <conditionalFormatting sqref="D5:D9">
    <cfRule type="iconSet" priority="3">
      <iconSet>
        <cfvo type="num" val="0"/>
        <cfvo type="num" val="40"/>
        <cfvo type="num" val="70"/>
      </iconSet>
    </cfRule>
  </conditionalFormatting>
  <conditionalFormatting sqref="D13:D17">
    <cfRule type="iconSet" priority="4">
      <iconSet>
        <cfvo type="num" val="0"/>
        <cfvo type="num" val="40"/>
        <cfvo type="num" val="70"/>
      </iconSet>
    </cfRule>
  </conditionalFormatting>
  <conditionalFormatting sqref="E5:E9">
    <cfRule type="expression" dxfId="2" priority="5">
      <formula>E5&gt;0.1</formula>
    </cfRule>
  </conditionalFormatting>
  <conditionalFormatting sqref="E13:E17">
    <cfRule type="expression" dxfId="1" priority="6">
      <formula>E5&gt;0.1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5" x14ac:dyDescent="0.25"/>
  <cols>
    <col min="1" max="1" width="35" customWidth="1"/>
    <col min="2" max="2" width="18" customWidth="1"/>
    <col min="3" max="3" width="15" customWidth="1"/>
    <col min="4" max="4" width="25" customWidth="1"/>
  </cols>
  <sheetData>
    <row r="1" spans="1:4" ht="18.75" x14ac:dyDescent="0.3">
      <c r="A1" s="1" t="s">
        <v>30</v>
      </c>
    </row>
    <row r="2" spans="1:4" x14ac:dyDescent="0.25">
      <c r="A2" s="14" t="s">
        <v>31</v>
      </c>
    </row>
    <row r="4" spans="1:4" x14ac:dyDescent="0.25">
      <c r="A4" s="4" t="s">
        <v>32</v>
      </c>
      <c r="B4" s="4" t="s">
        <v>33</v>
      </c>
      <c r="C4" s="4" t="s">
        <v>34</v>
      </c>
      <c r="D4" s="4" t="s">
        <v>35</v>
      </c>
    </row>
    <row r="5" spans="1:4" x14ac:dyDescent="0.25">
      <c r="A5" s="5" t="s">
        <v>36</v>
      </c>
      <c r="B5" s="15">
        <v>0</v>
      </c>
      <c r="C5" s="16">
        <v>15000</v>
      </c>
      <c r="D5" s="17" t="s">
        <v>37</v>
      </c>
    </row>
    <row r="6" spans="1:4" x14ac:dyDescent="0.25">
      <c r="A6" s="5" t="s">
        <v>38</v>
      </c>
      <c r="B6" s="15">
        <v>0</v>
      </c>
      <c r="C6" s="16">
        <v>30000</v>
      </c>
      <c r="D6" s="17" t="s">
        <v>39</v>
      </c>
    </row>
    <row r="7" spans="1:4" x14ac:dyDescent="0.25">
      <c r="A7" s="5" t="s">
        <v>40</v>
      </c>
      <c r="B7" s="15">
        <v>0</v>
      </c>
      <c r="C7" s="16">
        <v>30000</v>
      </c>
      <c r="D7" s="17" t="s">
        <v>39</v>
      </c>
    </row>
    <row r="8" spans="1:4" x14ac:dyDescent="0.25">
      <c r="A8" s="5" t="s">
        <v>41</v>
      </c>
      <c r="B8" s="15">
        <v>0</v>
      </c>
      <c r="C8" s="16">
        <v>30000</v>
      </c>
      <c r="D8" s="17" t="s">
        <v>42</v>
      </c>
    </row>
    <row r="9" spans="1:4" x14ac:dyDescent="0.25">
      <c r="A9" s="5" t="s">
        <v>43</v>
      </c>
      <c r="B9" s="15">
        <v>0</v>
      </c>
      <c r="C9" s="16">
        <v>30000</v>
      </c>
      <c r="D9" s="17" t="s">
        <v>42</v>
      </c>
    </row>
    <row r="10" spans="1:4" x14ac:dyDescent="0.25">
      <c r="A10" s="5" t="s">
        <v>44</v>
      </c>
      <c r="B10" s="15">
        <v>0</v>
      </c>
      <c r="C10" s="16">
        <v>45000</v>
      </c>
      <c r="D10" s="17" t="s">
        <v>45</v>
      </c>
    </row>
    <row r="11" spans="1:4" x14ac:dyDescent="0.25">
      <c r="A11" s="5" t="s">
        <v>46</v>
      </c>
      <c r="B11" s="15">
        <v>0</v>
      </c>
      <c r="C11" s="16">
        <v>45000</v>
      </c>
      <c r="D11" s="17" t="s">
        <v>47</v>
      </c>
    </row>
    <row r="12" spans="1:4" x14ac:dyDescent="0.25">
      <c r="A12" s="5" t="s">
        <v>48</v>
      </c>
      <c r="B12" s="15">
        <v>0</v>
      </c>
      <c r="C12" s="16">
        <v>45000</v>
      </c>
      <c r="D12" s="17" t="s">
        <v>47</v>
      </c>
    </row>
    <row r="13" spans="1:4" x14ac:dyDescent="0.25">
      <c r="A13" s="5" t="s">
        <v>49</v>
      </c>
      <c r="B13" s="15">
        <v>0</v>
      </c>
      <c r="C13" s="16">
        <v>45000</v>
      </c>
      <c r="D13" s="17" t="s">
        <v>47</v>
      </c>
    </row>
    <row r="14" spans="1:4" x14ac:dyDescent="0.25">
      <c r="A14" s="5" t="s">
        <v>50</v>
      </c>
      <c r="B14" s="15">
        <v>0</v>
      </c>
      <c r="C14" s="16">
        <v>45000</v>
      </c>
      <c r="D14" s="17" t="s">
        <v>47</v>
      </c>
    </row>
    <row r="15" spans="1:4" x14ac:dyDescent="0.25">
      <c r="A15" s="5" t="s">
        <v>51</v>
      </c>
      <c r="B15" s="15">
        <v>0</v>
      </c>
      <c r="C15" s="16">
        <v>45000</v>
      </c>
      <c r="D15" s="17" t="s">
        <v>52</v>
      </c>
    </row>
    <row r="16" spans="1:4" x14ac:dyDescent="0.25">
      <c r="A16" s="5" t="s">
        <v>53</v>
      </c>
      <c r="B16" s="15">
        <v>0</v>
      </c>
      <c r="C16" s="16">
        <v>45000</v>
      </c>
      <c r="D16" s="17" t="s">
        <v>52</v>
      </c>
    </row>
    <row r="17" spans="1:4" x14ac:dyDescent="0.25">
      <c r="A17" s="5" t="s">
        <v>54</v>
      </c>
      <c r="B17" s="15">
        <v>0</v>
      </c>
      <c r="C17" s="16">
        <v>100000</v>
      </c>
      <c r="D17" s="17" t="s">
        <v>55</v>
      </c>
    </row>
    <row r="18" spans="1:4" x14ac:dyDescent="0.25">
      <c r="A18" s="5" t="s">
        <v>56</v>
      </c>
      <c r="B18" s="15">
        <v>0</v>
      </c>
      <c r="C18" s="16">
        <v>100000</v>
      </c>
      <c r="D18" s="17" t="s">
        <v>55</v>
      </c>
    </row>
    <row r="20" spans="1:4" x14ac:dyDescent="0.25">
      <c r="A20" s="18" t="s">
        <v>57</v>
      </c>
      <c r="C20" s="19">
        <f>SUMPRODUCT(B5:B18,C5:C18)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selection activeCell="F30" sqref="F30"/>
    </sheetView>
  </sheetViews>
  <sheetFormatPr defaultRowHeight="15" x14ac:dyDescent="0.25"/>
  <cols>
    <col min="1" max="1" width="12" customWidth="1"/>
    <col min="2" max="3" width="10" customWidth="1"/>
    <col min="4" max="4" width="14" customWidth="1"/>
    <col min="5" max="5" width="18" customWidth="1"/>
    <col min="6" max="6" width="14" customWidth="1"/>
    <col min="7" max="7" width="12" customWidth="1"/>
    <col min="8" max="10" width="14" customWidth="1"/>
    <col min="11" max="12" width="16" customWidth="1"/>
  </cols>
  <sheetData>
    <row r="1" spans="1:13" ht="15.75" x14ac:dyDescent="0.25">
      <c r="A1" s="3" t="s">
        <v>58</v>
      </c>
    </row>
    <row r="2" spans="1:13" x14ac:dyDescent="0.25">
      <c r="A2" s="20" t="s">
        <v>59</v>
      </c>
      <c r="B2" s="20" t="s">
        <v>60</v>
      </c>
      <c r="C2" s="20" t="s">
        <v>61</v>
      </c>
      <c r="D2" s="20" t="s">
        <v>62</v>
      </c>
    </row>
    <row r="3" spans="1:13" x14ac:dyDescent="0.25">
      <c r="A3" s="21">
        <v>3000</v>
      </c>
      <c r="B3" s="21">
        <v>300</v>
      </c>
      <c r="C3" s="21">
        <v>1100</v>
      </c>
      <c r="D3" s="21">
        <v>1500</v>
      </c>
    </row>
    <row r="5" spans="1:13" x14ac:dyDescent="0.25">
      <c r="A5" s="14" t="s">
        <v>63</v>
      </c>
    </row>
    <row r="7" spans="1:13" ht="15.75" x14ac:dyDescent="0.25">
      <c r="A7" s="3" t="s">
        <v>64</v>
      </c>
    </row>
    <row r="9" spans="1:13" x14ac:dyDescent="0.25">
      <c r="A9" s="5" t="s">
        <v>65</v>
      </c>
      <c r="B9" s="22">
        <v>10</v>
      </c>
      <c r="C9" s="23">
        <f>B9*3000</f>
        <v>30000</v>
      </c>
    </row>
    <row r="10" spans="1:13" x14ac:dyDescent="0.25">
      <c r="A10" s="5" t="s">
        <v>66</v>
      </c>
      <c r="B10" s="22">
        <v>50</v>
      </c>
      <c r="C10" s="14" t="s">
        <v>67</v>
      </c>
    </row>
    <row r="13" spans="1:13" ht="15.75" x14ac:dyDescent="0.25">
      <c r="A13" s="3" t="s">
        <v>68</v>
      </c>
    </row>
    <row r="15" spans="1:13" ht="30" x14ac:dyDescent="0.25">
      <c r="A15" s="24" t="s">
        <v>7</v>
      </c>
      <c r="B15" s="24" t="s">
        <v>69</v>
      </c>
      <c r="C15" s="24" t="s">
        <v>70</v>
      </c>
      <c r="D15" s="24" t="s">
        <v>71</v>
      </c>
      <c r="E15" s="24" t="s">
        <v>72</v>
      </c>
      <c r="F15" s="24" t="s">
        <v>73</v>
      </c>
      <c r="G15" s="24" t="s">
        <v>5</v>
      </c>
      <c r="H15" s="24" t="s">
        <v>74</v>
      </c>
      <c r="I15" s="24" t="s">
        <v>75</v>
      </c>
      <c r="J15" s="24" t="s">
        <v>76</v>
      </c>
      <c r="K15" s="24" t="s">
        <v>77</v>
      </c>
      <c r="L15" s="24" t="s">
        <v>78</v>
      </c>
      <c r="M15" s="24" t="s">
        <v>79</v>
      </c>
    </row>
    <row r="16" spans="1:13" x14ac:dyDescent="0.25">
      <c r="A16" s="5" t="s">
        <v>14</v>
      </c>
      <c r="B16" s="25">
        <v>2358</v>
      </c>
      <c r="C16" s="26" t="s">
        <v>15</v>
      </c>
      <c r="D16" s="22">
        <v>2358</v>
      </c>
      <c r="E16" s="22">
        <v>10</v>
      </c>
      <c r="F16" s="22">
        <v>5</v>
      </c>
      <c r="G16" s="16">
        <v>103</v>
      </c>
      <c r="H16" s="27">
        <v>83</v>
      </c>
      <c r="I16" s="22"/>
      <c r="J16" s="28">
        <f>IF(I16="A",0.13,IF(I16="B",0.075,IF(I16="C",0.025,0)))</f>
        <v>0</v>
      </c>
      <c r="K16" s="23">
        <f>D16*G16*(1-J16)</f>
        <v>242874</v>
      </c>
      <c r="L16" s="23">
        <f>(C9/5) + (E16*300) + (F16*1500) + (MAX(0, F16-5)*1100)</f>
        <v>16500</v>
      </c>
      <c r="M16" s="29">
        <f>K16-L16</f>
        <v>226374</v>
      </c>
    </row>
    <row r="17" spans="1:13" x14ac:dyDescent="0.25">
      <c r="A17" s="5" t="s">
        <v>17</v>
      </c>
      <c r="B17" s="25">
        <v>2075</v>
      </c>
      <c r="C17" s="26" t="s">
        <v>15</v>
      </c>
      <c r="D17" s="22">
        <v>2075</v>
      </c>
      <c r="E17" s="22">
        <v>8</v>
      </c>
      <c r="F17" s="22">
        <v>4</v>
      </c>
      <c r="G17" s="16">
        <v>76</v>
      </c>
      <c r="H17" s="27">
        <v>77</v>
      </c>
      <c r="I17" s="22"/>
      <c r="J17" s="28">
        <f>IF(I17="A",0.13,IF(I17="B",0.075,IF(I17="C",0.025,0)))</f>
        <v>0</v>
      </c>
      <c r="K17" s="23">
        <f>D17*G17*(1-J17)</f>
        <v>157700</v>
      </c>
      <c r="L17" s="23">
        <f>(C9/5) + (E17*300) + (F17*1500) + (MAX(0, F17-5)*1100)</f>
        <v>14400</v>
      </c>
      <c r="M17" s="29">
        <f>K17-L17</f>
        <v>143300</v>
      </c>
    </row>
    <row r="18" spans="1:13" x14ac:dyDescent="0.25">
      <c r="A18" s="5" t="s">
        <v>18</v>
      </c>
      <c r="B18" s="25">
        <v>8437</v>
      </c>
      <c r="C18" s="26" t="s">
        <v>15</v>
      </c>
      <c r="D18" s="22">
        <v>8437</v>
      </c>
      <c r="E18" s="22">
        <v>6</v>
      </c>
      <c r="F18" s="22">
        <v>3</v>
      </c>
      <c r="G18" s="16">
        <v>86</v>
      </c>
      <c r="H18" s="27">
        <v>115</v>
      </c>
      <c r="I18" s="22"/>
      <c r="J18" s="28">
        <f>IF(I18="A",0.13,IF(I18="B",0.075,IF(I18="C",0.025,0)))</f>
        <v>0</v>
      </c>
      <c r="K18" s="23">
        <f>D18*G18*(1-J18)</f>
        <v>725582</v>
      </c>
      <c r="L18" s="23">
        <f>(C9/5) + (E18*300) + (F18*1500) + (MAX(0, F18-5)*1100)</f>
        <v>12300</v>
      </c>
      <c r="M18" s="29">
        <f>K18-L18</f>
        <v>713282</v>
      </c>
    </row>
    <row r="19" spans="1:13" x14ac:dyDescent="0.25">
      <c r="A19" s="5" t="s">
        <v>19</v>
      </c>
      <c r="B19" s="25">
        <v>0</v>
      </c>
      <c r="C19" s="26" t="s">
        <v>15</v>
      </c>
      <c r="D19" s="22">
        <v>0</v>
      </c>
      <c r="E19" s="22">
        <v>7</v>
      </c>
      <c r="F19" s="22">
        <v>4</v>
      </c>
      <c r="G19" s="16">
        <v>0</v>
      </c>
      <c r="H19" s="27">
        <v>0</v>
      </c>
      <c r="I19" s="22"/>
      <c r="J19" s="28">
        <f>IF(I19="A",0.13,IF(I19="B",0.075,IF(I19="C",0.025,0)))</f>
        <v>0</v>
      </c>
      <c r="K19" s="23">
        <f>D19*G19*(1-J19)</f>
        <v>0</v>
      </c>
      <c r="L19" s="23">
        <f>(C9/5) + (E19*300) + (F19*1500) + (MAX(0, F19-5)*1100)</f>
        <v>14100</v>
      </c>
      <c r="M19" s="29">
        <f>K19-L19</f>
        <v>-14100</v>
      </c>
    </row>
    <row r="20" spans="1:13" x14ac:dyDescent="0.25">
      <c r="A20" s="5" t="s">
        <v>21</v>
      </c>
      <c r="B20" s="25">
        <v>0</v>
      </c>
      <c r="C20" s="26" t="s">
        <v>15</v>
      </c>
      <c r="D20" s="22">
        <v>0</v>
      </c>
      <c r="E20" s="22">
        <v>9</v>
      </c>
      <c r="F20" s="22">
        <v>5</v>
      </c>
      <c r="G20" s="16">
        <v>0</v>
      </c>
      <c r="H20" s="27">
        <v>0</v>
      </c>
      <c r="I20" s="22"/>
      <c r="J20" s="28">
        <f>IF(I20="A",0.13,IF(I20="B",0.075,IF(I20="C",0.025,0)))</f>
        <v>0</v>
      </c>
      <c r="K20" s="23">
        <f>D20*G20*(1-J20)</f>
        <v>0</v>
      </c>
      <c r="L20" s="23">
        <f>(C9/5) + (E20*300) + (F20*1500) + (MAX(0, F20-5)*1100)</f>
        <v>16200</v>
      </c>
      <c r="M20" s="29">
        <f>K20-L20</f>
        <v>-16200</v>
      </c>
    </row>
    <row r="30" spans="1:13" x14ac:dyDescent="0.25">
      <c r="F30">
        <f>'INNOVATION LAB'!B5</f>
        <v>0</v>
      </c>
    </row>
  </sheetData>
  <conditionalFormatting sqref="G16:G20">
    <cfRule type="expression" dxfId="0" priority="1">
      <formula>G16&gt;(H16*1.15)</formula>
    </cfRule>
  </conditionalFormatting>
  <dataValidations disablePrompts="1" count="1">
    <dataValidation type="list" errorTitle="Invalid Payment Term" error="Payment term must be A, B, C, or D" sqref="I16:I20" xr:uid="{00000000-0002-0000-0200-000000000000}">
      <formula1>"A,B,C,D"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topLeftCell="A3" workbookViewId="0"/>
  </sheetViews>
  <sheetFormatPr defaultRowHeight="15" x14ac:dyDescent="0.25"/>
  <sheetData>
    <row r="1" spans="1:16" ht="18.75" x14ac:dyDescent="0.3">
      <c r="A1" s="1" t="s">
        <v>80</v>
      </c>
    </row>
    <row r="2" spans="1:16" x14ac:dyDescent="0.25">
      <c r="A2" s="14" t="s">
        <v>81</v>
      </c>
    </row>
    <row r="4" spans="1:16" ht="15.75" x14ac:dyDescent="0.25">
      <c r="A4" s="3" t="s">
        <v>82</v>
      </c>
      <c r="G4" s="3" t="s">
        <v>83</v>
      </c>
      <c r="J4" s="3" t="s">
        <v>84</v>
      </c>
      <c r="N4" s="3" t="s">
        <v>85</v>
      </c>
    </row>
    <row r="5" spans="1:16" x14ac:dyDescent="0.25">
      <c r="A5" s="4" t="s">
        <v>86</v>
      </c>
      <c r="B5" s="4" t="s">
        <v>7</v>
      </c>
      <c r="C5" s="4" t="s">
        <v>87</v>
      </c>
      <c r="D5" s="4" t="s">
        <v>88</v>
      </c>
      <c r="E5" s="4" t="s">
        <v>89</v>
      </c>
      <c r="G5" s="30" t="s">
        <v>7</v>
      </c>
      <c r="H5" s="30" t="s">
        <v>83</v>
      </c>
      <c r="J5" s="30" t="s">
        <v>7</v>
      </c>
      <c r="K5" s="30" t="s">
        <v>86</v>
      </c>
      <c r="L5" s="30" t="s">
        <v>5</v>
      </c>
      <c r="N5" s="30" t="s">
        <v>7</v>
      </c>
      <c r="O5" s="30" t="s">
        <v>75</v>
      </c>
      <c r="P5" s="30" t="s">
        <v>90</v>
      </c>
    </row>
    <row r="6" spans="1:16" x14ac:dyDescent="0.25">
      <c r="A6" s="5" t="s">
        <v>91</v>
      </c>
      <c r="B6" s="5" t="s">
        <v>92</v>
      </c>
      <c r="C6" s="5" t="s">
        <v>93</v>
      </c>
      <c r="D6" s="5">
        <f>'STRATEGY COCKPIT'!C9</f>
        <v>30000</v>
      </c>
      <c r="E6" s="5">
        <f>'STRATEGY COCKPIT'!B10</f>
        <v>50</v>
      </c>
      <c r="G6" s="5" t="s">
        <v>14</v>
      </c>
      <c r="H6" s="5">
        <f>'STRATEGY COCKPIT'!D16</f>
        <v>2358</v>
      </c>
      <c r="J6" s="5" t="s">
        <v>14</v>
      </c>
      <c r="K6" s="5" t="s">
        <v>91</v>
      </c>
      <c r="L6" s="5">
        <f>'STRATEGY COCKPIT'!G16</f>
        <v>103</v>
      </c>
      <c r="N6" s="5" t="s">
        <v>14</v>
      </c>
      <c r="O6" s="5">
        <f>'STRATEGY COCKPIT'!I16</f>
        <v>0</v>
      </c>
      <c r="P6" s="5">
        <f>'STRATEGY COCKPIT'!F16</f>
        <v>5</v>
      </c>
    </row>
    <row r="7" spans="1:16" x14ac:dyDescent="0.25">
      <c r="A7" s="5" t="s">
        <v>91</v>
      </c>
      <c r="B7" s="5" t="s">
        <v>14</v>
      </c>
      <c r="C7" s="5" t="s">
        <v>94</v>
      </c>
      <c r="D7" s="5">
        <f>'STRATEGY COCKPIT'!E16*'STRATEGY COCKPIT'!$B$3</f>
        <v>3000</v>
      </c>
      <c r="E7" s="5">
        <f>'STRATEGY COCKPIT'!B10</f>
        <v>50</v>
      </c>
      <c r="G7" s="5" t="s">
        <v>17</v>
      </c>
      <c r="H7" s="5">
        <f>'STRATEGY COCKPIT'!D17</f>
        <v>2075</v>
      </c>
      <c r="J7" s="5" t="s">
        <v>17</v>
      </c>
      <c r="K7" s="5" t="s">
        <v>91</v>
      </c>
      <c r="L7" s="5">
        <f>'STRATEGY COCKPIT'!G17</f>
        <v>76</v>
      </c>
      <c r="N7" s="5" t="s">
        <v>17</v>
      </c>
      <c r="O7" s="5">
        <f>'STRATEGY COCKPIT'!I17</f>
        <v>0</v>
      </c>
      <c r="P7" s="5">
        <f>'STRATEGY COCKPIT'!F17</f>
        <v>4</v>
      </c>
    </row>
    <row r="8" spans="1:16" x14ac:dyDescent="0.25">
      <c r="A8" s="5" t="s">
        <v>91</v>
      </c>
      <c r="B8" s="5" t="s">
        <v>17</v>
      </c>
      <c r="C8" s="5" t="s">
        <v>94</v>
      </c>
      <c r="D8" s="5">
        <f>'STRATEGY COCKPIT'!E17*'STRATEGY COCKPIT'!$B$3</f>
        <v>2400</v>
      </c>
      <c r="E8" s="5">
        <f>'STRATEGY COCKPIT'!B10</f>
        <v>50</v>
      </c>
      <c r="G8" s="5" t="s">
        <v>18</v>
      </c>
      <c r="H8" s="5">
        <f>'STRATEGY COCKPIT'!D18</f>
        <v>8437</v>
      </c>
      <c r="J8" s="5" t="s">
        <v>18</v>
      </c>
      <c r="K8" s="5" t="s">
        <v>91</v>
      </c>
      <c r="L8" s="5">
        <f>'STRATEGY COCKPIT'!G18</f>
        <v>86</v>
      </c>
      <c r="N8" s="5" t="s">
        <v>18</v>
      </c>
      <c r="O8" s="5">
        <f>'STRATEGY COCKPIT'!I18</f>
        <v>0</v>
      </c>
      <c r="P8" s="5">
        <f>'STRATEGY COCKPIT'!F18</f>
        <v>3</v>
      </c>
    </row>
    <row r="9" spans="1:16" x14ac:dyDescent="0.25">
      <c r="A9" s="5" t="s">
        <v>91</v>
      </c>
      <c r="B9" s="5" t="s">
        <v>18</v>
      </c>
      <c r="C9" s="5" t="s">
        <v>94</v>
      </c>
      <c r="D9" s="5">
        <f>'STRATEGY COCKPIT'!E18*'STRATEGY COCKPIT'!$B$3</f>
        <v>1800</v>
      </c>
      <c r="E9" s="5">
        <f>'STRATEGY COCKPIT'!B10</f>
        <v>50</v>
      </c>
      <c r="G9" s="5" t="s">
        <v>19</v>
      </c>
      <c r="H9" s="5">
        <f>'STRATEGY COCKPIT'!D19</f>
        <v>0</v>
      </c>
      <c r="J9" s="5" t="s">
        <v>19</v>
      </c>
      <c r="K9" s="5" t="s">
        <v>91</v>
      </c>
      <c r="L9" s="5">
        <f>'STRATEGY COCKPIT'!G19</f>
        <v>0</v>
      </c>
      <c r="N9" s="5" t="s">
        <v>19</v>
      </c>
      <c r="O9" s="5">
        <f>'STRATEGY COCKPIT'!I19</f>
        <v>0</v>
      </c>
      <c r="P9" s="5">
        <f>'STRATEGY COCKPIT'!F19</f>
        <v>4</v>
      </c>
    </row>
    <row r="10" spans="1:16" x14ac:dyDescent="0.25">
      <c r="A10" s="5" t="s">
        <v>91</v>
      </c>
      <c r="B10" s="5" t="s">
        <v>19</v>
      </c>
      <c r="C10" s="5" t="s">
        <v>94</v>
      </c>
      <c r="D10" s="5">
        <f>'STRATEGY COCKPIT'!E19*'STRATEGY COCKPIT'!$B$3</f>
        <v>2100</v>
      </c>
      <c r="E10" s="5">
        <f>'STRATEGY COCKPIT'!B10</f>
        <v>50</v>
      </c>
      <c r="G10" s="5" t="s">
        <v>21</v>
      </c>
      <c r="H10" s="5">
        <f>'STRATEGY COCKPIT'!D20</f>
        <v>0</v>
      </c>
      <c r="J10" s="5" t="s">
        <v>21</v>
      </c>
      <c r="K10" s="5" t="s">
        <v>91</v>
      </c>
      <c r="L10" s="5">
        <f>'STRATEGY COCKPIT'!G20</f>
        <v>0</v>
      </c>
      <c r="N10" s="5" t="s">
        <v>21</v>
      </c>
      <c r="O10" s="5">
        <f>'STRATEGY COCKPIT'!I20</f>
        <v>0</v>
      </c>
      <c r="P10" s="5">
        <f>'STRATEGY COCKPIT'!F20</f>
        <v>5</v>
      </c>
    </row>
    <row r="11" spans="1:16" x14ac:dyDescent="0.25">
      <c r="A11" s="5" t="s">
        <v>91</v>
      </c>
      <c r="B11" s="5" t="s">
        <v>21</v>
      </c>
      <c r="C11" s="5" t="s">
        <v>94</v>
      </c>
      <c r="D11" s="5">
        <f>'STRATEGY COCKPIT'!E20*'STRATEGY COCKPIT'!$B$3</f>
        <v>2700</v>
      </c>
      <c r="E11" s="5">
        <f>'STRATEGY COCKPIT'!B10</f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tabSelected="1" workbookViewId="0">
      <selection activeCell="C6" sqref="C6"/>
    </sheetView>
  </sheetViews>
  <sheetFormatPr defaultRowHeight="15" x14ac:dyDescent="0.25"/>
  <cols>
    <col min="1" max="1" width="10" customWidth="1"/>
    <col min="2" max="2" width="35" customWidth="1"/>
    <col min="3" max="3" width="10" customWidth="1"/>
  </cols>
  <sheetData>
    <row r="1" spans="1:3" ht="18.75" x14ac:dyDescent="0.3">
      <c r="A1" s="1" t="s">
        <v>95</v>
      </c>
    </row>
    <row r="2" spans="1:3" x14ac:dyDescent="0.25">
      <c r="A2" s="14" t="s">
        <v>96</v>
      </c>
    </row>
    <row r="4" spans="1:3" x14ac:dyDescent="0.25">
      <c r="A4" s="30" t="s">
        <v>86</v>
      </c>
      <c r="B4" s="30" t="s">
        <v>97</v>
      </c>
      <c r="C4" s="30" t="s">
        <v>98</v>
      </c>
    </row>
    <row r="5" spans="1:3" x14ac:dyDescent="0.25">
      <c r="A5" s="5" t="s">
        <v>91</v>
      </c>
      <c r="B5" s="5" t="s">
        <v>36</v>
      </c>
      <c r="C5" s="5">
        <f>'INNOVATION LAB'!B5</f>
        <v>0</v>
      </c>
    </row>
    <row r="6" spans="1:3" x14ac:dyDescent="0.25">
      <c r="A6" s="5" t="s">
        <v>91</v>
      </c>
      <c r="B6" s="5" t="s">
        <v>38</v>
      </c>
      <c r="C6" s="5" t="e">
        <f>[1]INNOVATION_LAB!B6</f>
        <v>#REF!</v>
      </c>
    </row>
    <row r="7" spans="1:3" x14ac:dyDescent="0.25">
      <c r="A7" s="5" t="s">
        <v>91</v>
      </c>
      <c r="B7" s="5" t="s">
        <v>40</v>
      </c>
      <c r="C7" s="5" t="e">
        <f>[1]INNOVATION_LAB!B7</f>
        <v>#REF!</v>
      </c>
    </row>
    <row r="8" spans="1:3" x14ac:dyDescent="0.25">
      <c r="A8" s="5" t="s">
        <v>91</v>
      </c>
      <c r="B8" s="5" t="s">
        <v>41</v>
      </c>
      <c r="C8" s="5" t="e">
        <f>[1]INNOVATION_LAB!B8</f>
        <v>#REF!</v>
      </c>
    </row>
    <row r="9" spans="1:3" x14ac:dyDescent="0.25">
      <c r="A9" s="5" t="s">
        <v>91</v>
      </c>
      <c r="B9" s="5" t="s">
        <v>43</v>
      </c>
      <c r="C9" s="5" t="e">
        <f>[1]INNOVATION_LAB!B9</f>
        <v>#REF!</v>
      </c>
    </row>
    <row r="10" spans="1:3" x14ac:dyDescent="0.25">
      <c r="A10" s="5" t="s">
        <v>91</v>
      </c>
      <c r="B10" s="5" t="s">
        <v>44</v>
      </c>
      <c r="C10" s="5" t="e">
        <f>[1]INNOVATION_LAB!B10</f>
        <v>#REF!</v>
      </c>
    </row>
    <row r="11" spans="1:3" x14ac:dyDescent="0.25">
      <c r="A11" s="5" t="s">
        <v>91</v>
      </c>
      <c r="B11" s="5" t="s">
        <v>46</v>
      </c>
      <c r="C11" s="5" t="e">
        <f>[1]INNOVATION_LAB!B11</f>
        <v>#REF!</v>
      </c>
    </row>
    <row r="12" spans="1:3" x14ac:dyDescent="0.25">
      <c r="A12" s="5" t="s">
        <v>91</v>
      </c>
      <c r="B12" s="5" t="s">
        <v>48</v>
      </c>
      <c r="C12" s="5" t="e">
        <f>[1]INNOVATION_LAB!B12</f>
        <v>#REF!</v>
      </c>
    </row>
    <row r="13" spans="1:3" x14ac:dyDescent="0.25">
      <c r="A13" s="5" t="s">
        <v>91</v>
      </c>
      <c r="B13" s="5" t="s">
        <v>49</v>
      </c>
      <c r="C13" s="5" t="e">
        <f>[1]INNOVATION_LAB!B13</f>
        <v>#REF!</v>
      </c>
    </row>
    <row r="14" spans="1:3" x14ac:dyDescent="0.25">
      <c r="A14" s="5" t="s">
        <v>91</v>
      </c>
      <c r="B14" s="5" t="s">
        <v>50</v>
      </c>
      <c r="C14" s="5" t="e">
        <f>[1]INNOVATION_LAB!B14</f>
        <v>#REF!</v>
      </c>
    </row>
    <row r="15" spans="1:3" x14ac:dyDescent="0.25">
      <c r="A15" s="5" t="s">
        <v>91</v>
      </c>
      <c r="B15" s="5" t="s">
        <v>51</v>
      </c>
      <c r="C15" s="5" t="e">
        <f>[1]INNOVATION_LAB!B15</f>
        <v>#REF!</v>
      </c>
    </row>
    <row r="16" spans="1:3" x14ac:dyDescent="0.25">
      <c r="A16" s="5" t="s">
        <v>91</v>
      </c>
      <c r="B16" s="5" t="s">
        <v>53</v>
      </c>
      <c r="C16" s="5" t="e">
        <f>[1]INNOVATION_LAB!B16</f>
        <v>#REF!</v>
      </c>
    </row>
    <row r="17" spans="1:3" x14ac:dyDescent="0.25">
      <c r="A17" s="5" t="s">
        <v>91</v>
      </c>
      <c r="B17" s="5" t="s">
        <v>54</v>
      </c>
      <c r="C17" s="5" t="e">
        <f>[1]INNOVATION_LAB!B17</f>
        <v>#REF!</v>
      </c>
    </row>
    <row r="18" spans="1:3" x14ac:dyDescent="0.25">
      <c r="A18" s="5" t="s">
        <v>91</v>
      </c>
      <c r="B18" s="5" t="s">
        <v>56</v>
      </c>
      <c r="C18" s="5" t="e">
        <f>[1]INNOVATION_LAB!B18</f>
        <v>#REF!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5"/>
  <cols>
    <col min="1" max="2" width="30" customWidth="1"/>
  </cols>
  <sheetData>
    <row r="1" spans="1:2" ht="18.75" x14ac:dyDescent="0.3">
      <c r="A1" s="1" t="s">
        <v>99</v>
      </c>
    </row>
    <row r="2" spans="1:2" x14ac:dyDescent="0.25">
      <c r="A2" s="14" t="s">
        <v>100</v>
      </c>
    </row>
    <row r="4" spans="1:2" x14ac:dyDescent="0.25">
      <c r="A4" s="31" t="s">
        <v>101</v>
      </c>
    </row>
    <row r="5" spans="1:2" x14ac:dyDescent="0.25">
      <c r="A5" s="5" t="s">
        <v>102</v>
      </c>
      <c r="B5" s="5" t="s">
        <v>103</v>
      </c>
    </row>
    <row r="6" spans="1:2" x14ac:dyDescent="0.25">
      <c r="A6" s="5" t="s">
        <v>104</v>
      </c>
      <c r="B6" s="5" t="s">
        <v>105</v>
      </c>
    </row>
    <row r="9" spans="1:2" x14ac:dyDescent="0.25">
      <c r="A9" s="32" t="s">
        <v>106</v>
      </c>
    </row>
    <row r="10" spans="1:2" x14ac:dyDescent="0.25">
      <c r="A10" s="5" t="s">
        <v>107</v>
      </c>
      <c r="B10" s="5" t="s">
        <v>108</v>
      </c>
    </row>
    <row r="11" spans="1:2" x14ac:dyDescent="0.25">
      <c r="A11" s="5" t="s">
        <v>109</v>
      </c>
      <c r="B11" s="5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SEGMENT PULSE</vt:lpstr>
      <vt:lpstr>INNOVATION LAB</vt:lpstr>
      <vt:lpstr>STRATEGY COCKPIT</vt:lpstr>
      <vt:lpstr>UPLOAD READY MARKETING</vt:lpstr>
      <vt:lpstr>UPLOAD READY INNOVATION</vt:lpstr>
      <vt:lpstr>CROSS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Lichtenstein, Harel</cp:lastModifiedBy>
  <dcterms:created xsi:type="dcterms:W3CDTF">2026-01-05T20:06:56Z</dcterms:created>
  <dcterms:modified xsi:type="dcterms:W3CDTF">2026-01-05T20:08:31Z</dcterms:modified>
</cp:coreProperties>
</file>