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ITY_MONITOR" sheetId="1" state="visible" r:id="rId1"/>
    <sheet name="PROFIT_CONTROL" sheetId="2" state="visible" r:id="rId2"/>
    <sheet name="BALANCE_SHEET_HEALTH" sheetId="3" state="visible" r:id="rId3"/>
    <sheet name="DEBT_MANAGER" sheetId="4" state="visible" r:id="rId4"/>
    <sheet name="UPLOAD_READY_FINANCE" sheetId="5" state="visible" r:id="rId5"/>
    <sheet name="CROSS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sz val="12"/>
    </font>
    <font>
      <b val="1"/>
    </font>
    <font>
      <i val="1"/>
      <color rgb="00666666"/>
    </font>
    <font>
      <b val="1"/>
      <color rgb="00FFFFFF"/>
    </font>
    <font>
      <i val="1"/>
    </font>
  </fonts>
  <fills count="12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B4B4B4"/>
        <bgColor rgb="00B4B4B4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2" borderId="1" pivotButton="0" quotePrefix="0" xfId="0"/>
    <xf numFmtId="164" fontId="0" fillId="3" borderId="1" pivotButton="0" quotePrefix="0" xfId="0"/>
    <xf numFmtId="0" fontId="3" fillId="0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center"/>
    </xf>
    <xf numFmtId="0" fontId="6" fillId="0" borderId="0" pivotButton="0" quotePrefix="0" xfId="0"/>
    <xf numFmtId="164" fontId="0" fillId="0" borderId="0" pivotButton="0" quotePrefix="0" xfId="0"/>
    <xf numFmtId="164" fontId="0" fillId="6" borderId="1" pivotButton="0" quotePrefix="0" xfId="0"/>
    <xf numFmtId="165" fontId="0" fillId="2" borderId="1" pivotButton="0" quotePrefix="0" xfId="0"/>
    <xf numFmtId="0" fontId="5" fillId="5" borderId="1" pivotButton="0" quotePrefix="0" xfId="0"/>
    <xf numFmtId="165" fontId="0" fillId="6" borderId="1" pivotButton="0" quotePrefix="0" xfId="0"/>
    <xf numFmtId="164" fontId="3" fillId="2" borderId="1" pivotButton="0" quotePrefix="0" xfId="0"/>
    <xf numFmtId="0" fontId="3" fillId="0" borderId="1" pivotButton="0" quotePrefix="0" xfId="0"/>
    <xf numFmtId="165" fontId="3" fillId="4" borderId="1" pivotButton="0" quotePrefix="0" xfId="0"/>
    <xf numFmtId="165" fontId="0" fillId="3" borderId="1" pivotButton="0" quotePrefix="0" xfId="0"/>
    <xf numFmtId="0" fontId="0" fillId="6" borderId="0" pivotButton="0" quotePrefix="0" xfId="0"/>
    <xf numFmtId="164" fontId="0" fillId="7" borderId="1" pivotButton="0" quotePrefix="0" xfId="0"/>
    <xf numFmtId="0" fontId="5" fillId="8" borderId="0" pivotButton="0" quotePrefix="0" xfId="0"/>
    <xf numFmtId="0" fontId="5" fillId="9" borderId="0" pivotButton="0" quotePrefix="0" xfId="0"/>
    <xf numFmtId="3" fontId="0" fillId="2" borderId="1" pivotButton="0" quotePrefix="0" xfId="0"/>
    <xf numFmtId="166" fontId="0" fillId="2" borderId="1" pivotButton="0" quotePrefix="0" xfId="0"/>
    <xf numFmtId="0" fontId="5" fillId="10" borderId="0" pivotButton="0" quotePrefix="0" xfId="0"/>
    <xf numFmtId="0" fontId="5" fillId="11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ont>
        <b val="1"/>
        <color rgb="00C00000"/>
      </font>
    </dxf>
    <dxf>
      <font>
        <b val="1"/>
        <color rgb="0000B050"/>
      </font>
    </dxf>
    <dxf>
      <fill>
        <patternFill patternType="solid">
          <fgColor rgb="00FFEB84"/>
          <bgColor rgb="00FFEB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Liquidity Forecast (Cash Balance)</a:t>
            </a:r>
          </a:p>
        </rich>
      </tx>
    </title>
    <plotArea>
      <lineChart>
        <grouping val="standard"/>
        <ser>
          <idx val="0"/>
          <order val="0"/>
          <tx>
            <v>Ending Cash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'LIQUIDITY_MONITOR'!$B$14:$I$14</f>
            </numRef>
          </cat>
          <val>
            <numRef>
              <f>'LIQUIDITY_MONITOR'!$B$33:$I$33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Cash 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Solvency Gauge (Debt Ratio)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'BALANCE_SHEET_HEALTH'!I12</f>
            </strRef>
          </tx>
          <spPr>
            <a:ln>
              <a:prstDash val="solid"/>
            </a:ln>
          </spPr>
          <cat>
            <numRef>
              <f>'BALANCE_SHEET_HEALTH'!$H$13:$H$14</f>
            </numRef>
          </cat>
          <val>
            <numRef>
              <f>'BALANCE_SHEET_HEALTH'!$I$13:$I$14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'BALANCE_SHEET_HEALTH'!J12</f>
            </strRef>
          </tx>
          <spPr>
            <a:ln w="2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'BALANCE_SHEET_HEALTH'!$J$13:$J$14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11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LIQUIDITY MONITOR - Cash Flow Engine</t>
        </is>
      </c>
    </row>
    <row r="3">
      <c r="A3" s="2" t="inlineStr">
        <is>
          <t>SECTION A: INITIALIZATION (Initial Cash Flow Bridge)</t>
        </is>
      </c>
    </row>
    <row r="5">
      <c r="A5" s="3" t="inlineStr">
        <is>
          <t>Cash at End of Last Period</t>
        </is>
      </c>
      <c r="B5" s="4" t="n">
        <v>0</v>
      </c>
    </row>
    <row r="6">
      <c r="A6" s="3" t="inlineStr">
        <is>
          <t>Less: Tax Payments</t>
        </is>
      </c>
      <c r="B6" s="5" t="n">
        <v>0</v>
      </c>
    </row>
    <row r="7">
      <c r="A7" s="3" t="inlineStr">
        <is>
          <t>Less: Dividend Payments</t>
        </is>
      </c>
      <c r="B7" s="5" t="n">
        <v>0</v>
      </c>
    </row>
    <row r="8">
      <c r="A8" s="3" t="inlineStr">
        <is>
          <t>Less: Asset Purchases</t>
        </is>
      </c>
      <c r="B8" s="5" t="n">
        <v>0</v>
      </c>
    </row>
    <row r="9">
      <c r="A9" s="6" t="inlineStr">
        <is>
          <t>STARTING CASH FOR FN1 (HARD)</t>
        </is>
      </c>
      <c r="B9" s="7">
        <f>B5-B6-B7-B8</f>
        <v/>
      </c>
      <c r="C9" s="8" t="inlineStr">
        <is>
          <t>← From initial_cash_flow.xlsx</t>
        </is>
      </c>
    </row>
    <row r="12">
      <c r="A12" s="2" t="inlineStr">
        <is>
          <t>SECTION B: OPERATIONAL CASH FLOW</t>
        </is>
      </c>
    </row>
    <row r="14">
      <c r="A14" s="9" t="inlineStr">
        <is>
          <t>Item</t>
        </is>
      </c>
      <c r="B14" s="10" t="inlineStr">
        <is>
          <t>FN1</t>
        </is>
      </c>
      <c r="C14" s="10" t="inlineStr">
        <is>
          <t>FN2</t>
        </is>
      </c>
      <c r="D14" s="10" t="inlineStr">
        <is>
          <t>FN3</t>
        </is>
      </c>
      <c r="E14" s="10" t="inlineStr">
        <is>
          <t>FN4</t>
        </is>
      </c>
      <c r="F14" s="10" t="inlineStr">
        <is>
          <t>FN5</t>
        </is>
      </c>
      <c r="G14" s="10" t="inlineStr">
        <is>
          <t>FN6</t>
        </is>
      </c>
      <c r="H14" s="10" t="inlineStr">
        <is>
          <t>FN7</t>
        </is>
      </c>
      <c r="I14" s="10" t="inlineStr">
        <is>
          <t>FN8</t>
        </is>
      </c>
    </row>
    <row r="15">
      <c r="A15" s="3" t="inlineStr">
        <is>
          <t>Opening Cash</t>
        </is>
      </c>
      <c r="B15" s="4">
        <f>$B$9</f>
        <v/>
      </c>
      <c r="C15" s="4">
        <f>B$33</f>
        <v/>
      </c>
      <c r="D15" s="4">
        <f>C$33</f>
        <v/>
      </c>
      <c r="E15" s="4">
        <f>D$33</f>
        <v/>
      </c>
      <c r="F15" s="4">
        <f>E$33</f>
        <v/>
      </c>
      <c r="G15" s="4">
        <f>F$33</f>
        <v/>
      </c>
      <c r="H15" s="4">
        <f>G$33</f>
        <v/>
      </c>
      <c r="I15" s="4">
        <f>H$33</f>
        <v/>
      </c>
    </row>
    <row r="16">
      <c r="A16" s="3" t="inlineStr">
        <is>
          <t>Sales Receipts (Est.)</t>
        </is>
      </c>
      <c r="B16" s="5" t="n">
        <v>100000</v>
      </c>
      <c r="C16" s="5" t="n">
        <v>100000</v>
      </c>
      <c r="D16" s="5" t="n">
        <v>100000</v>
      </c>
      <c r="E16" s="5" t="n">
        <v>100000</v>
      </c>
      <c r="F16" s="5" t="n">
        <v>100000</v>
      </c>
      <c r="G16" s="5" t="n">
        <v>100000</v>
      </c>
      <c r="H16" s="5" t="n">
        <v>100000</v>
      </c>
      <c r="I16" s="5" t="n">
        <v>100000</v>
      </c>
    </row>
    <row r="17">
      <c r="A17" s="3" t="inlineStr">
        <is>
          <t>Procurement Spend (Est.)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3" t="inlineStr">
        <is>
          <t>Fixed Overhead (S&amp;A)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Receivables (HARD)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s="3" t="inlineStr">
        <is>
          <t>Payables (HARD)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</row>
    <row r="24">
      <c r="A24" s="2" t="inlineStr">
        <is>
          <t>SECTION C: FINANCING DECISIONS</t>
        </is>
      </c>
      <c r="C24" s="6" t="inlineStr">
        <is>
          <t>DEBT CAPACITY (Short Term)</t>
        </is>
      </c>
      <c r="D24" s="11" t="inlineStr">
        <is>
          <t>Limit: $500,000</t>
        </is>
      </c>
    </row>
    <row r="25">
      <c r="A25" s="3" t="inlineStr">
        <is>
          <t>Change in Credit Line (+/-)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</row>
    <row r="26">
      <c r="A26" s="11" t="inlineStr">
        <is>
          <t>Proj. ST Debt Balance</t>
        </is>
      </c>
      <c r="B26" s="12">
        <f>0+B25</f>
        <v/>
      </c>
      <c r="C26" s="12">
        <f>B26+C25</f>
        <v/>
      </c>
      <c r="D26" s="12">
        <f>C26+D25</f>
        <v/>
      </c>
      <c r="E26" s="12">
        <f>D26+E25</f>
        <v/>
      </c>
      <c r="F26" s="12">
        <f>E26+F25</f>
        <v/>
      </c>
      <c r="G26" s="12">
        <f>F26+G25</f>
        <v/>
      </c>
      <c r="H26" s="12">
        <f>G26+H25</f>
        <v/>
      </c>
      <c r="I26" s="12">
        <f>H26+I25</f>
        <v/>
      </c>
    </row>
    <row r="27">
      <c r="A27" s="3" t="inlineStr">
        <is>
          <t>Change in Investments (+/-)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</row>
    <row r="28">
      <c r="A28" s="3" t="inlineStr">
        <is>
          <t>New Mortgage Inflow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Dividends Paid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</row>
    <row r="31">
      <c r="A31" s="2" t="inlineStr">
        <is>
          <t>SECTION D: CASH BALANCE</t>
        </is>
      </c>
    </row>
    <row r="32">
      <c r="A32" s="3" t="inlineStr">
        <is>
          <t>Net Cash Flow</t>
        </is>
      </c>
      <c r="B32" s="13">
        <f>B16+B19+B25+B28-B17-B18-B20-B27-B29</f>
        <v/>
      </c>
      <c r="C32" s="13">
        <f>C16+C19+C25+C28-C17-C18-C20-C27-C29</f>
        <v/>
      </c>
      <c r="D32" s="13">
        <f>D16+D19+D25+D28-D17-D18-D20-D27-D29</f>
        <v/>
      </c>
      <c r="E32" s="13">
        <f>E16+E19+E25+E28-E17-E18-E20-E27-E29</f>
        <v/>
      </c>
      <c r="F32" s="13">
        <f>F16+F19+F25+F28-F17-F18-F20-F27-F29</f>
        <v/>
      </c>
      <c r="G32" s="13">
        <f>G16+G19+G25+G28-G17-G18-G20-G27-G29</f>
        <v/>
      </c>
      <c r="H32" s="13">
        <f>H16+H19+H25+H28-H17-H18-H20-H27-H29</f>
        <v/>
      </c>
      <c r="I32" s="13">
        <f>I16+I19+I25+I28-I17-I18-I20-I27-I29</f>
        <v/>
      </c>
    </row>
    <row r="33">
      <c r="A33" s="6" t="inlineStr">
        <is>
          <t>ENDING CASH BALANCE</t>
        </is>
      </c>
      <c r="B33" s="7">
        <f>B15+B32</f>
        <v/>
      </c>
      <c r="C33" s="7">
        <f>C15+C32</f>
        <v/>
      </c>
      <c r="D33" s="7">
        <f>D15+D32</f>
        <v/>
      </c>
      <c r="E33" s="7">
        <f>E15+E32</f>
        <v/>
      </c>
      <c r="F33" s="7">
        <f>F15+F32</f>
        <v/>
      </c>
      <c r="G33" s="7">
        <f>G15+G32</f>
        <v/>
      </c>
      <c r="H33" s="7">
        <f>H15+H32</f>
        <v/>
      </c>
      <c r="I33" s="7">
        <f>I15+I32</f>
        <v/>
      </c>
    </row>
    <row r="34">
      <c r="A34" s="3" t="inlineStr">
        <is>
          <t>Solvency Check</t>
        </is>
      </c>
      <c r="B34" s="3">
        <f>IF(B33&lt;0,"INSOLVENT!",IF(B33&gt;200000,"Excess Cash","OK"))</f>
        <v/>
      </c>
      <c r="C34" s="3">
        <f>IF(C33&lt;0,"INSOLVENT!",IF(C33&gt;200000,"Excess Cash","OK"))</f>
        <v/>
      </c>
      <c r="D34" s="3">
        <f>IF(D33&lt;0,"INSOLVENT!",IF(D33&gt;200000,"Excess Cash","OK"))</f>
        <v/>
      </c>
      <c r="E34" s="3">
        <f>IF(E33&lt;0,"INSOLVENT!",IF(E33&gt;200000,"Excess Cash","OK"))</f>
        <v/>
      </c>
      <c r="F34" s="3">
        <f>IF(F33&lt;0,"INSOLVENT!",IF(F33&gt;200000,"Excess Cash","OK"))</f>
        <v/>
      </c>
      <c r="G34" s="3">
        <f>IF(G33&lt;0,"INSOLVENT!",IF(G33&gt;200000,"Excess Cash","OK"))</f>
        <v/>
      </c>
      <c r="H34" s="3">
        <f>IF(H33&lt;0,"INSOLVENT!",IF(H33&gt;200000,"Excess Cash","OK"))</f>
        <v/>
      </c>
      <c r="I34" s="3">
        <f>IF(I33&lt;0,"INSOLVENT!",IF(I33&gt;200000,"Excess Cash","OK"))</f>
        <v/>
      </c>
    </row>
  </sheetData>
  <conditionalFormatting sqref="B33:I33">
    <cfRule type="expression" priority="1" dxfId="0">
      <formula>B33&lt;0</formula>
    </cfRule>
    <cfRule type="expression" priority="2" dxfId="1">
      <formula>B33&gt;200000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14" customWidth="1" min="4" max="4"/>
  </cols>
  <sheetData>
    <row r="1">
      <c r="A1" s="1" t="inlineStr">
        <is>
          <t>PROFIT CONTROL - Income Statement Forecast vs Actuals</t>
        </is>
      </c>
    </row>
    <row r="3">
      <c r="A3" s="2" t="inlineStr">
        <is>
          <t>HISTORICAL MARGINS (From results_and_balance_statements)</t>
        </is>
      </c>
    </row>
    <row r="5">
      <c r="A5" s="3" t="inlineStr">
        <is>
          <t>Historical Gross Margin %</t>
        </is>
      </c>
      <c r="B5" s="14" t="n">
        <v>0</v>
      </c>
    </row>
    <row r="6">
      <c r="A6" s="3" t="inlineStr">
        <is>
          <t>Historical Net Margin %</t>
        </is>
      </c>
      <c r="B6" s="14" t="n">
        <v>0</v>
      </c>
    </row>
    <row r="9">
      <c r="A9" s="2" t="inlineStr">
        <is>
          <t>INCOME STATEMENT COMPARISON</t>
        </is>
      </c>
    </row>
    <row r="10">
      <c r="A10" s="15" t="inlineStr">
        <is>
          <t>Line Item</t>
        </is>
      </c>
      <c r="B10" s="15" t="inlineStr">
        <is>
          <t>Last Round Actuals</t>
        </is>
      </c>
      <c r="C10" s="15" t="inlineStr">
        <is>
          <t>This Round Projected</t>
        </is>
      </c>
      <c r="D10" s="15" t="inlineStr">
        <is>
          <t>Variance %</t>
        </is>
      </c>
    </row>
    <row r="11">
      <c r="A11" s="3" t="inlineStr">
        <is>
          <t>Net Sales / Revenue</t>
        </is>
      </c>
      <c r="B11" s="4" t="n">
        <v>0</v>
      </c>
      <c r="C11" s="5" t="n">
        <v>0</v>
      </c>
      <c r="D11" s="16">
        <f>IF(B11&gt;0,(C11-B11)/B11,0)</f>
        <v/>
      </c>
    </row>
    <row r="12">
      <c r="A12" s="3" t="inlineStr">
        <is>
          <t>Cost of Goods Sold</t>
        </is>
      </c>
      <c r="B12" s="4" t="n">
        <v>0</v>
      </c>
      <c r="C12" s="13">
        <f>C11*(1-$B$5)</f>
        <v/>
      </c>
      <c r="D12" s="16">
        <f>IF(B12&gt;0,(C12-B12)/B12,0)</f>
        <v/>
      </c>
    </row>
    <row r="13">
      <c r="A13" s="3" t="inlineStr">
        <is>
          <t>Gross Margin</t>
        </is>
      </c>
      <c r="B13" s="4" t="n">
        <v>0</v>
      </c>
      <c r="C13" s="13">
        <f>C11-C12</f>
        <v/>
      </c>
      <c r="D13" s="16">
        <f>IF(B13&gt;0,(C13-B13)/B13,0)</f>
        <v/>
      </c>
    </row>
    <row r="14">
      <c r="A14" s="3" t="inlineStr">
        <is>
          <t>S&amp;A Expenses</t>
        </is>
      </c>
      <c r="B14" s="4" t="n">
        <v>0</v>
      </c>
      <c r="C14" s="5" t="n">
        <v>0</v>
      </c>
      <c r="D14" s="16">
        <f>IF(B14&gt;0,(C14-B14)/B14,0)</f>
        <v/>
      </c>
    </row>
    <row r="15">
      <c r="A15" s="3" t="inlineStr">
        <is>
          <t>Depreciation (HARD)</t>
        </is>
      </c>
      <c r="B15" s="4" t="n">
        <v>0</v>
      </c>
      <c r="C15" s="5" t="n">
        <v>0</v>
      </c>
      <c r="D15" s="16">
        <f>IF(B15&gt;0,(C15-B15)/B15,0)</f>
        <v/>
      </c>
      <c r="E15" s="8" t="inlineStr">
        <is>
          <t>← Auto-calc from machine_spaces.xlsx</t>
        </is>
      </c>
    </row>
    <row r="16">
      <c r="A16" s="3" t="inlineStr">
        <is>
          <t>Interest Expense</t>
        </is>
      </c>
      <c r="B16" s="4" t="n">
        <v>0</v>
      </c>
      <c r="C16" s="5" t="n">
        <v>0</v>
      </c>
    </row>
    <row r="17">
      <c r="A17" s="6" t="inlineStr">
        <is>
          <t>EST. NET INCOME</t>
        </is>
      </c>
      <c r="B17" s="17" t="n">
        <v>0</v>
      </c>
      <c r="C17" s="7">
        <f>C13-C14-C15-C16</f>
        <v/>
      </c>
      <c r="D17" s="16">
        <f>IF(B17&gt;0,(C17-B17)/B17,0)</f>
        <v/>
      </c>
    </row>
    <row r="19">
      <c r="A19" s="2" t="inlineStr">
        <is>
          <t>ACCURACY CHECK</t>
        </is>
      </c>
    </row>
    <row r="20">
      <c r="A20" s="3" t="inlineStr">
        <is>
          <t>Projected Net Margin</t>
        </is>
      </c>
      <c r="B20" s="16">
        <f>IF(C11&gt;0,C17/C11,0)</f>
        <v/>
      </c>
    </row>
    <row r="21">
      <c r="A21" s="3" t="inlineStr">
        <is>
          <t>Profit Realism Flag</t>
        </is>
      </c>
      <c r="B21" s="18">
        <f>IF(B20&gt;$B$6+0.05,"WARNING: Unrealistic profit jump!","Projection OK")</f>
        <v/>
      </c>
    </row>
  </sheetData>
  <conditionalFormatting sqref="C17">
    <cfRule type="expression" priority="1" dxfId="2">
      <formula>C17&lt;0</formula>
    </cfRule>
    <cfRule type="expression" priority="2" dxfId="3">
      <formula>C17&gt;0</formula>
    </cfRule>
  </conditionalFormatting>
  <conditionalFormatting sqref="D12:D17">
    <cfRule type="expression" priority="3" dxfId="4">
      <formula>ABS(D12)&gt;0.1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BALANCE SHEET HEALTH - Solvency &amp; Debt Control</t>
        </is>
      </c>
    </row>
    <row r="3">
      <c r="A3" s="2" t="inlineStr">
        <is>
          <t>CURRENT POSITION (From results_and_balance_statements)</t>
        </is>
      </c>
    </row>
    <row r="5">
      <c r="A5" s="3" t="inlineStr">
        <is>
          <t>Total Assets</t>
        </is>
      </c>
      <c r="B5" s="4" t="n">
        <v>0</v>
      </c>
    </row>
    <row r="6">
      <c r="A6" s="3" t="inlineStr">
        <is>
          <t>Total Liabilities</t>
        </is>
      </c>
      <c r="B6" s="4" t="n">
        <v>0</v>
      </c>
    </row>
    <row r="7">
      <c r="A7" s="3" t="inlineStr">
        <is>
          <t>Total Equity</t>
        </is>
      </c>
      <c r="B7" s="4" t="n">
        <v>0</v>
      </c>
    </row>
    <row r="8">
      <c r="A8" s="3" t="inlineStr">
        <is>
          <t>Retained Earnings</t>
        </is>
      </c>
      <c r="B8" s="4" t="n">
        <v>0</v>
      </c>
    </row>
    <row r="11">
      <c r="A11" s="2" t="inlineStr">
        <is>
          <t>DEBT ANALYSIS</t>
        </is>
      </c>
    </row>
    <row r="12">
      <c r="H12" t="inlineStr">
        <is>
          <t>Metric</t>
        </is>
      </c>
      <c r="I12" t="inlineStr">
        <is>
          <t>Ratio</t>
        </is>
      </c>
      <c r="J12" t="inlineStr">
        <is>
          <t>Limit</t>
        </is>
      </c>
    </row>
    <row r="13">
      <c r="A13" s="3" t="inlineStr">
        <is>
          <t>Current Debt Ratio</t>
        </is>
      </c>
      <c r="B13" s="16">
        <f>B6/B5</f>
        <v/>
      </c>
      <c r="H13" t="inlineStr">
        <is>
          <t>Current</t>
        </is>
      </c>
      <c r="I13">
        <f>B13</f>
        <v/>
      </c>
      <c r="J13" t="n">
        <v>0.6</v>
      </c>
    </row>
    <row r="14">
      <c r="H14" t="inlineStr">
        <is>
          <t>Post-Decision</t>
        </is>
      </c>
      <c r="I14">
        <f>B19</f>
        <v/>
      </c>
      <c r="J14" t="n">
        <v>0.6</v>
      </c>
    </row>
    <row r="15">
      <c r="A15" s="3" t="inlineStr">
        <is>
          <t>Projected New Credit Lines</t>
        </is>
      </c>
      <c r="B15" s="5" t="n">
        <v>0</v>
      </c>
    </row>
    <row r="16">
      <c r="A16" s="3" t="inlineStr">
        <is>
          <t>Projected New Mortgages</t>
        </is>
      </c>
      <c r="B16" s="5" t="n">
        <v>0</v>
      </c>
    </row>
    <row r="17">
      <c r="A17" s="3" t="inlineStr">
        <is>
          <t>Total New Debt</t>
        </is>
      </c>
      <c r="B17" s="13">
        <f>B15+B16</f>
        <v/>
      </c>
    </row>
    <row r="19">
      <c r="A19" s="3" t="inlineStr">
        <is>
          <t>Est. Post-Decision Debt Ratio</t>
        </is>
      </c>
      <c r="B19" s="19">
        <f>(B6+B17)/B5</f>
        <v/>
      </c>
    </row>
    <row r="21">
      <c r="A21" s="2" t="inlineStr">
        <is>
          <t>WARNING FLAGS</t>
        </is>
      </c>
    </row>
    <row r="22">
      <c r="A22" s="3" t="inlineStr">
        <is>
          <t>Debt Level Check</t>
        </is>
      </c>
      <c r="B22" s="18">
        <f>IF(B19&gt;0.6,"CRITICAL: Debt too high. Credit Rating Risk.","Health OK")</f>
        <v/>
      </c>
    </row>
    <row r="23">
      <c r="B23" s="18">
        <f>IF(B8&lt;0,"CRITICAL: Equity Erosion. Retained earnings negative.","Equity OK")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DEBT MANAGER - Mortgage Calculator</t>
        </is>
      </c>
    </row>
    <row r="3">
      <c r="A3" s="2" t="inlineStr">
        <is>
          <t>MORTGAGE BLOCK</t>
        </is>
      </c>
    </row>
    <row r="5">
      <c r="A5" s="15" t="inlineStr">
        <is>
          <t>Loan #</t>
        </is>
      </c>
      <c r="B5" s="15" t="inlineStr">
        <is>
          <t>Amount</t>
        </is>
      </c>
      <c r="C5" s="15" t="inlineStr">
        <is>
          <t>Interest Rate</t>
        </is>
      </c>
      <c r="D5" s="15" t="inlineStr">
        <is>
          <t>Payment Period 1</t>
        </is>
      </c>
      <c r="E5" s="15" t="inlineStr">
        <is>
          <t>Payment Period 2</t>
        </is>
      </c>
      <c r="F5" s="15" t="inlineStr">
        <is>
          <t>Total Payments</t>
        </is>
      </c>
    </row>
    <row r="6">
      <c r="A6" s="3" t="inlineStr">
        <is>
          <t>Loan 1</t>
        </is>
      </c>
      <c r="B6" s="5" t="n">
        <v>0</v>
      </c>
      <c r="C6" s="20" t="n">
        <v>0</v>
      </c>
      <c r="D6" s="5" t="n">
        <v>0</v>
      </c>
      <c r="E6" s="5" t="n">
        <v>0</v>
      </c>
      <c r="F6" s="13">
        <f>D6+E6</f>
        <v/>
      </c>
    </row>
    <row r="7">
      <c r="A7" s="3" t="inlineStr">
        <is>
          <t>Loan 2</t>
        </is>
      </c>
      <c r="B7" s="5" t="n">
        <v>0</v>
      </c>
      <c r="C7" s="20" t="n">
        <v>0</v>
      </c>
      <c r="D7" s="5" t="n">
        <v>0</v>
      </c>
      <c r="E7" s="5" t="n">
        <v>0</v>
      </c>
      <c r="F7" s="13">
        <f>D7+E7</f>
        <v/>
      </c>
    </row>
    <row r="8">
      <c r="A8" s="3" t="inlineStr">
        <is>
          <t>Loan 3</t>
        </is>
      </c>
      <c r="B8" s="5" t="n">
        <v>0</v>
      </c>
      <c r="C8" s="20" t="n">
        <v>0</v>
      </c>
      <c r="D8" s="5" t="n">
        <v>0</v>
      </c>
      <c r="E8" s="5" t="n">
        <v>0</v>
      </c>
      <c r="F8" s="13">
        <f>D8+E8</f>
        <v/>
      </c>
    </row>
    <row r="10">
      <c r="A10" s="6" t="inlineStr">
        <is>
          <t>TOTAL</t>
        </is>
      </c>
      <c r="B10" s="21">
        <f>SUM(B6:B8)</f>
        <v/>
      </c>
      <c r="F10" s="21">
        <f>SUM(F6:F8)</f>
        <v/>
      </c>
    </row>
    <row r="13">
      <c r="A13" s="2" t="inlineStr">
        <is>
          <t>DIVIDEND CONTROL</t>
        </is>
      </c>
    </row>
    <row r="14">
      <c r="A14" s="3" t="inlineStr">
        <is>
          <t>Max Dividend Capacity (HARD)</t>
        </is>
      </c>
      <c r="B14" s="22" t="n">
        <v>0</v>
      </c>
      <c r="C14" s="8" t="inlineStr">
        <is>
          <t>← Retained Earnings from balance sheet</t>
        </is>
      </c>
    </row>
    <row r="15">
      <c r="A15" s="3" t="inlineStr">
        <is>
          <t>User Dividend Input</t>
        </is>
      </c>
      <c r="B15" s="5" t="n">
        <v>0</v>
      </c>
    </row>
    <row r="16">
      <c r="A16" s="3" t="inlineStr">
        <is>
          <t>Dividend Status</t>
        </is>
      </c>
      <c r="B16" s="3">
        <f>IF(B15&gt;B14,"❌ ILLEGAL: Exceeds Retained Earnings","✓ LEGAL")</f>
        <v/>
      </c>
    </row>
  </sheetData>
  <conditionalFormatting sqref="B15">
    <cfRule type="expression" priority="1" dxfId="0">
      <formula>$B$15&gt;$B$14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FINANCE DECISIONS - ExSim Upload Format</t>
        </is>
      </c>
    </row>
    <row r="2">
      <c r="A2" s="8" t="inlineStr">
        <is>
          <t>Copy these values to ExSim Finance upload</t>
        </is>
      </c>
    </row>
    <row r="4">
      <c r="A4" s="2" t="inlineStr">
        <is>
          <t>Credit Lines</t>
        </is>
      </c>
    </row>
    <row r="5">
      <c r="B5" s="15" t="inlineStr">
        <is>
          <t>FN1</t>
        </is>
      </c>
      <c r="C5" s="15" t="inlineStr">
        <is>
          <t>FN2</t>
        </is>
      </c>
      <c r="D5" s="15" t="inlineStr">
        <is>
          <t>FN3</t>
        </is>
      </c>
      <c r="E5" s="15" t="inlineStr">
        <is>
          <t>FN4</t>
        </is>
      </c>
      <c r="F5" s="15" t="inlineStr">
        <is>
          <t>FN5</t>
        </is>
      </c>
      <c r="G5" s="15" t="inlineStr">
        <is>
          <t>FN6</t>
        </is>
      </c>
      <c r="H5" s="15" t="inlineStr">
        <is>
          <t>FN7</t>
        </is>
      </c>
      <c r="I5" s="15" t="inlineStr">
        <is>
          <t>FN8</t>
        </is>
      </c>
    </row>
    <row r="6">
      <c r="A6" s="3" t="inlineStr">
        <is>
          <t>Amount</t>
        </is>
      </c>
      <c r="B6" s="13">
        <f>LIQUIDITY_MONITOR!B25</f>
        <v/>
      </c>
      <c r="C6" s="13">
        <f>LIQUIDITY_MONITOR!C25</f>
        <v/>
      </c>
      <c r="D6" s="13">
        <f>LIQUIDITY_MONITOR!D25</f>
        <v/>
      </c>
      <c r="E6" s="13">
        <f>LIQUIDITY_MONITOR!E25</f>
        <v/>
      </c>
      <c r="F6" s="13">
        <f>LIQUIDITY_MONITOR!F25</f>
        <v/>
      </c>
      <c r="G6" s="13">
        <f>LIQUIDITY_MONITOR!G25</f>
        <v/>
      </c>
      <c r="H6" s="13">
        <f>LIQUIDITY_MONITOR!H25</f>
        <v/>
      </c>
      <c r="I6" s="13">
        <f>LIQUIDITY_MONITOR!I25</f>
        <v/>
      </c>
    </row>
    <row r="9">
      <c r="A9" s="2" t="inlineStr">
        <is>
          <t>Investments</t>
        </is>
      </c>
    </row>
    <row r="10">
      <c r="B10" s="15" t="inlineStr">
        <is>
          <t>FN1</t>
        </is>
      </c>
      <c r="C10" s="15" t="inlineStr">
        <is>
          <t>FN2</t>
        </is>
      </c>
      <c r="D10" s="15" t="inlineStr">
        <is>
          <t>FN3</t>
        </is>
      </c>
      <c r="E10" s="15" t="inlineStr">
        <is>
          <t>FN4</t>
        </is>
      </c>
      <c r="F10" s="15" t="inlineStr">
        <is>
          <t>FN5</t>
        </is>
      </c>
      <c r="G10" s="15" t="inlineStr">
        <is>
          <t>FN6</t>
        </is>
      </c>
      <c r="H10" s="15" t="inlineStr">
        <is>
          <t>FN7</t>
        </is>
      </c>
      <c r="I10" s="15" t="inlineStr">
        <is>
          <t>FN8</t>
        </is>
      </c>
    </row>
    <row r="11">
      <c r="A11" s="3" t="inlineStr">
        <is>
          <t>Amount</t>
        </is>
      </c>
      <c r="B11" s="13">
        <f>LIQUIDITY_MONITOR!B27</f>
        <v/>
      </c>
      <c r="C11" s="13">
        <f>LIQUIDITY_MONITOR!C27</f>
        <v/>
      </c>
      <c r="D11" s="13">
        <f>LIQUIDITY_MONITOR!D27</f>
        <v/>
      </c>
      <c r="E11" s="13">
        <f>LIQUIDITY_MONITOR!E27</f>
        <v/>
      </c>
      <c r="F11" s="13">
        <f>LIQUIDITY_MONITOR!F27</f>
        <v/>
      </c>
      <c r="G11" s="13">
        <f>LIQUIDITY_MONITOR!G27</f>
        <v/>
      </c>
      <c r="H11" s="13">
        <f>LIQUIDITY_MONITOR!H27</f>
        <v/>
      </c>
      <c r="I11" s="13">
        <f>LIQUIDITY_MONITOR!I27</f>
        <v/>
      </c>
    </row>
    <row r="14">
      <c r="A14" s="2" t="inlineStr">
        <is>
          <t>Mortgages</t>
        </is>
      </c>
    </row>
    <row r="15">
      <c r="A15" s="15" t="inlineStr">
        <is>
          <t>Loan</t>
        </is>
      </c>
      <c r="B15" s="15" t="inlineStr">
        <is>
          <t>Amount</t>
        </is>
      </c>
      <c r="C15" s="15" t="inlineStr">
        <is>
          <t>Payment 1</t>
        </is>
      </c>
      <c r="D15" s="15" t="inlineStr">
        <is>
          <t>Payment 2</t>
        </is>
      </c>
    </row>
    <row r="16">
      <c r="A16" s="3" t="inlineStr">
        <is>
          <t>Loan 1</t>
        </is>
      </c>
      <c r="B16" s="3">
        <f>DEBT_MANAGER!B6</f>
        <v/>
      </c>
      <c r="C16" s="3">
        <f>DEBT_MANAGER!D6</f>
        <v/>
      </c>
      <c r="D16" s="3">
        <f>DEBT_MANAGER!E6</f>
        <v/>
      </c>
    </row>
    <row r="17">
      <c r="A17" s="3" t="inlineStr">
        <is>
          <t>Loan 2</t>
        </is>
      </c>
      <c r="B17" s="3">
        <f>DEBT_MANAGER!B7</f>
        <v/>
      </c>
      <c r="C17" s="3">
        <f>DEBT_MANAGER!D7</f>
        <v/>
      </c>
      <c r="D17" s="3">
        <f>DEBT_MANAGER!E7</f>
        <v/>
      </c>
    </row>
    <row r="18">
      <c r="A18" s="3" t="inlineStr">
        <is>
          <t>Loan 3</t>
        </is>
      </c>
      <c r="B18" s="3">
        <f>DEBT_MANAGER!B8</f>
        <v/>
      </c>
      <c r="C18" s="3">
        <f>DEBT_MANAGER!D8</f>
        <v/>
      </c>
      <c r="D18" s="3">
        <f>DEBT_MANAGER!E8</f>
        <v/>
      </c>
    </row>
    <row r="21">
      <c r="A21" s="2" t="inlineStr">
        <is>
          <t>Dividends</t>
        </is>
      </c>
    </row>
    <row r="22">
      <c r="B22" s="13">
        <f>LIQUIDITY_MONITOR!B29</f>
        <v/>
      </c>
      <c r="C22" s="13">
        <f>LIQUIDITY_MONITOR!C29</f>
        <v/>
      </c>
      <c r="D22" s="13">
        <f>LIQUIDITY_MONITOR!D29</f>
        <v/>
      </c>
      <c r="E22" s="13">
        <f>LIQUIDITY_MONITOR!E29</f>
        <v/>
      </c>
      <c r="F22" s="13">
        <f>LIQUIDITY_MONITOR!F29</f>
        <v/>
      </c>
      <c r="G22" s="13">
        <f>LIQUIDITY_MONITOR!G29</f>
        <v/>
      </c>
      <c r="H22" s="13">
        <f>LIQUIDITY_MONITOR!H29</f>
        <v/>
      </c>
      <c r="I22" s="13">
        <f>LIQUIDITY_MONITOR!I29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CROSS-REFERENCE SUMMARY - Upstream Dashboard KPIs</t>
        </is>
      </c>
    </row>
    <row r="2">
      <c r="A2" s="8" t="inlineStr">
        <is>
          <t>Key metrics from other dashboards affecting cash flow. Data from shared_outputs.json.</t>
        </is>
      </c>
    </row>
    <row r="4">
      <c r="A4" s="23" t="inlineStr">
        <is>
          <t>CMO (Revenue &amp; Marketing)</t>
        </is>
      </c>
    </row>
    <row r="5">
      <c r="A5" s="3" t="inlineStr">
        <is>
          <t>Projected Revenue</t>
        </is>
      </c>
      <c r="B5" s="4" t="n">
        <v>0</v>
      </c>
    </row>
    <row r="6">
      <c r="A6" s="3" t="inlineStr">
        <is>
          <t>Marketing Spend</t>
        </is>
      </c>
      <c r="B6" s="4" t="n">
        <v>0</v>
      </c>
    </row>
    <row r="7">
      <c r="A7" s="3" t="inlineStr">
        <is>
          <t>Innovation Costs</t>
        </is>
      </c>
      <c r="B7" s="4" t="n">
        <v>0</v>
      </c>
    </row>
    <row r="9">
      <c r="A9" s="24" t="inlineStr">
        <is>
          <t>PRODUCTION (Output)</t>
        </is>
      </c>
    </row>
    <row r="10">
      <c r="A10" s="3" t="inlineStr">
        <is>
          <t>Total Production</t>
        </is>
      </c>
      <c r="B10" s="25" t="n">
        <v>0</v>
      </c>
    </row>
    <row r="11">
      <c r="A11" s="3" t="inlineStr">
        <is>
          <t>Avg Unit Cost</t>
        </is>
      </c>
      <c r="B11" s="26" t="n">
        <v>0</v>
      </c>
    </row>
    <row r="12">
      <c r="A12" s="3" t="inlineStr">
        <is>
          <t>Utilization</t>
        </is>
      </c>
      <c r="B12" s="14" t="n">
        <v>0</v>
      </c>
    </row>
    <row r="14">
      <c r="A14" s="27" t="inlineStr">
        <is>
          <t>COST DRIVERS (Variable)</t>
        </is>
      </c>
    </row>
    <row r="15">
      <c r="A15" s="3" t="inlineStr">
        <is>
          <t>Labor (CPO)</t>
        </is>
      </c>
      <c r="B15" s="4" t="n">
        <v>0</v>
      </c>
    </row>
    <row r="16">
      <c r="A16" s="3" t="inlineStr">
        <is>
          <t>Materials (Purchasing)</t>
        </is>
      </c>
      <c r="B16" s="4" t="n">
        <v>0</v>
      </c>
    </row>
    <row r="17">
      <c r="A17" s="3" t="inlineStr">
        <is>
          <t>Logistics (CLO)</t>
        </is>
      </c>
      <c r="B17" s="4" t="n">
        <v>0</v>
      </c>
    </row>
    <row r="18">
      <c r="A18" s="3" t="inlineStr">
        <is>
          <t>TOTAL VARIABLE EST.</t>
        </is>
      </c>
      <c r="B18" s="4" t="n">
        <v>0</v>
      </c>
    </row>
    <row r="20">
      <c r="A20" s="28" t="inlineStr">
        <is>
          <t>ESG (Sustainability)</t>
        </is>
      </c>
    </row>
    <row r="21">
      <c r="A21" s="3" t="inlineStr">
        <is>
          <t>CO2 Emissions</t>
        </is>
      </c>
      <c r="B21" s="25" t="n">
        <v>0</v>
      </c>
    </row>
    <row r="22">
      <c r="A22" s="3" t="inlineStr">
        <is>
          <t>Tax Liability</t>
        </is>
      </c>
      <c r="B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2026-01-04T16:23:38Z</dcterms:created>
  <dcterms:modified xsi:type="dcterms:W3CDTF">2026-01-04T16:23:38Z</dcterms:modified>
</cp:coreProperties>
</file>