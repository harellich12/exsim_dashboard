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_CONFIG" sheetId="1" state="visible" r:id="rId1"/>
    <sheet name="STRATEGY_SELECTOR" sheetId="2" state="visible" r:id="rId2"/>
    <sheet name="UPLOAD_READY_ESG" sheetId="3" state="visible" r:id="rId3"/>
    <sheet name="CROSS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$#,##0.00"/>
    <numFmt numFmtId="166" formatCode="0.0000"/>
    <numFmt numFmtId="167" formatCode="#,##0.0"/>
    <numFmt numFmtId="168" formatCode="0.0"/>
    <numFmt numFmtId="169" formatCode="0.0x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1F4E79"/>
      <sz val="12"/>
    </font>
    <font>
      <b val="1"/>
      <i val="1"/>
      <color rgb="00C00000"/>
    </font>
    <font>
      <b val="1"/>
      <color rgb="00FFFFFF"/>
    </font>
    <font>
      <b val="1"/>
    </font>
    <font>
      <b val="1"/>
      <color rgb="00FF0000"/>
    </font>
    <font>
      <b val="1"/>
      <color rgb="002F5496"/>
      <sz val="14"/>
    </font>
    <font>
      <b val="1"/>
      <color rgb="002F5496"/>
      <sz val="12"/>
    </font>
  </fonts>
  <fills count="1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7030A0"/>
        <bgColor rgb="007030A0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1565C0"/>
        <bgColor rgb="001565C0"/>
      </patternFill>
    </fill>
    <fill>
      <patternFill patternType="solid">
        <fgColor rgb="00EF6C00"/>
        <bgColor rgb="00EF6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wrapText="1"/>
    </xf>
    <xf numFmtId="0" fontId="5" fillId="4" borderId="1" pivotButton="0" quotePrefix="0" xfId="0"/>
    <xf numFmtId="165" fontId="0" fillId="2" borderId="1" pivotButton="0" quotePrefix="0" xfId="0"/>
    <xf numFmtId="166" fontId="0" fillId="2" borderId="1" pivotButton="0" quotePrefix="0" xfId="0"/>
    <xf numFmtId="0" fontId="0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6" fillId="0" borderId="0" pivotButton="0" quotePrefix="0" xfId="0"/>
    <xf numFmtId="164" fontId="0" fillId="9" borderId="1" pivotButton="0" quotePrefix="0" xfId="0"/>
    <xf numFmtId="3" fontId="0" fillId="5" borderId="1" pivotButton="0" quotePrefix="0" xfId="0"/>
    <xf numFmtId="0" fontId="0" fillId="2" borderId="1" pivotButton="0" quotePrefix="0" xfId="0"/>
    <xf numFmtId="167" fontId="0" fillId="9" borderId="1" pivotButton="0" quotePrefix="0" xfId="0"/>
    <xf numFmtId="168" fontId="0" fillId="9" borderId="1" pivotButton="0" quotePrefix="0" xfId="0"/>
    <xf numFmtId="164" fontId="0" fillId="10" borderId="1" pivotButton="0" quotePrefix="0" xfId="0"/>
    <xf numFmtId="9" fontId="0" fillId="2" borderId="1" pivotButton="0" quotePrefix="0" xfId="0"/>
    <xf numFmtId="0" fontId="0" fillId="9" borderId="1" pivotButton="0" quotePrefix="0" xfId="0"/>
    <xf numFmtId="167" fontId="6" fillId="10" borderId="1" pivotButton="0" quotePrefix="0" xfId="0"/>
    <xf numFmtId="164" fontId="6" fillId="10" borderId="1" pivotButton="0" quotePrefix="0" xfId="0"/>
    <xf numFmtId="164" fontId="5" fillId="11" borderId="1" pivotButton="0" quotePrefix="0" xfId="0"/>
    <xf numFmtId="0" fontId="5" fillId="3" borderId="1" pivotButton="0" quotePrefix="0" xfId="0"/>
    <xf numFmtId="0" fontId="0" fillId="0" borderId="1" pivotButton="0" quotePrefix="0" xfId="0"/>
    <xf numFmtId="9" fontId="0" fillId="0" borderId="1" pivotButton="0" quotePrefix="0" xfId="0"/>
    <xf numFmtId="169" fontId="0" fillId="0" borderId="1" pivotButton="0" quotePrefix="0" xfId="0"/>
    <xf numFmtId="169" fontId="0" fillId="2" borderId="1" pivotButton="0" quotePrefix="0" xfId="0"/>
    <xf numFmtId="0" fontId="7" fillId="0" borderId="0" pivotButton="0" quotePrefix="0" xfId="0"/>
    <xf numFmtId="0" fontId="6" fillId="0" borderId="1" pivotButton="0" quotePrefix="0" xfId="0"/>
    <xf numFmtId="0" fontId="8" fillId="0" borderId="0" pivotButton="0" quotePrefix="0" xfId="0"/>
    <xf numFmtId="0" fontId="5" fillId="12" borderId="0" pivotButton="0" quotePrefix="0" xfId="0"/>
    <xf numFmtId="0" fontId="5" fillId="13" borderId="0" pivotButton="0" quotePrefix="0" xfId="0"/>
  </cellXfs>
  <cellStyles count="1">
    <cellStyle name="Normal" xfId="0" builtinId="0" hidden="0"/>
  </cellStyles>
  <dxfs count="3">
    <dxf>
      <font>
        <b val="1"/>
        <color rgb="00C00000"/>
      </font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Abatement Cost Curve (Cost vs Tax)</a:t>
            </a:r>
          </a:p>
        </rich>
      </tx>
    </title>
    <plotArea>
      <barChart>
        <barDir val="col"/>
        <grouping val="clustered"/>
        <ser>
          <idx val="0"/>
          <order val="0"/>
          <tx>
            <v>Cost Per Ton</v>
          </tx>
          <spPr>
            <a:ln>
              <a:prstDash val="solid"/>
            </a:ln>
          </spPr>
          <cat>
            <numRef>
              <f>'STRATEGY_SELECTOR'!$A$13:$A$16</f>
            </numRef>
          </cat>
          <val>
            <numRef>
              <f>'STRATEGY_SELECTOR'!$H$13:$H$16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v>Tax Rate Threshold</v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'STRATEGY_SELECTOR'!$I$13:$I$16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Cost / Ton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8" customWidth="1" min="4" max="4"/>
  </cols>
  <sheetData>
    <row r="1">
      <c r="A1" s="1" t="inlineStr">
        <is>
          <t>IMPACT CONFIGURATION - Initiative Specifications</t>
        </is>
      </c>
    </row>
    <row r="2">
      <c r="A2" s="2" t="inlineStr">
        <is>
          <t>Define the unit costs and CO2 reduction rates from Case Guide.</t>
        </is>
      </c>
    </row>
    <row r="4">
      <c r="A4" s="3" t="inlineStr">
        <is>
          <t>CO2 TAX RATE ($/Ton)</t>
        </is>
      </c>
      <c r="B4" s="4" t="n">
        <v>0</v>
      </c>
      <c r="C4" s="5" t="inlineStr">
        <is>
          <t>&lt;-- Get from Case Guide!</t>
        </is>
      </c>
    </row>
    <row r="6">
      <c r="A6" s="3" t="inlineStr">
        <is>
          <t>INITIATIVE SPECIFICATIONS</t>
        </is>
      </c>
    </row>
    <row r="7">
      <c r="A7" s="6" t="inlineStr">
        <is>
          <t>Initiative</t>
        </is>
      </c>
      <c r="B7" s="6" t="inlineStr">
        <is>
          <t>Unit Cost ($)</t>
        </is>
      </c>
      <c r="C7" s="6" t="inlineStr">
        <is>
          <t>CO2 Reduction (Tons/Unit)</t>
        </is>
      </c>
      <c r="D7" s="6" t="inlineStr">
        <is>
          <t>Unit Type</t>
        </is>
      </c>
    </row>
    <row r="8">
      <c r="A8" s="7" t="inlineStr">
        <is>
          <t>Solar PV Panels</t>
        </is>
      </c>
      <c r="B8" s="8" t="n">
        <v>0</v>
      </c>
      <c r="C8" s="9" t="n">
        <v>0</v>
      </c>
      <c r="D8" s="10" t="inlineStr">
        <is>
          <t>panels</t>
        </is>
      </c>
    </row>
    <row r="9">
      <c r="A9" s="11" t="inlineStr">
        <is>
          <t>Trees Planted</t>
        </is>
      </c>
      <c r="B9" s="8" t="n">
        <v>0</v>
      </c>
      <c r="C9" s="9" t="n">
        <v>0</v>
      </c>
      <c r="D9" s="10" t="inlineStr">
        <is>
          <t>trees</t>
        </is>
      </c>
    </row>
    <row r="10">
      <c r="A10" s="12" t="inlineStr">
        <is>
          <t>Green Electricity</t>
        </is>
      </c>
      <c r="B10" s="8" t="n">
        <v>0</v>
      </c>
      <c r="C10" s="9" t="n">
        <v>0</v>
      </c>
      <c r="D10" s="10" t="inlineStr">
        <is>
          <t>% of consumption</t>
        </is>
      </c>
    </row>
    <row r="11">
      <c r="A11" s="13" t="inlineStr">
        <is>
          <t>CO2 Credits</t>
        </is>
      </c>
      <c r="B11" s="8" t="n">
        <v>0</v>
      </c>
      <c r="C11" s="9" t="n">
        <v>0</v>
      </c>
      <c r="D11" s="10" t="inlineStr">
        <is>
          <t>credits</t>
        </is>
      </c>
    </row>
    <row r="14">
      <c r="A14" s="14" t="inlineStr">
        <is>
          <t>NOTES:</t>
        </is>
      </c>
    </row>
    <row r="15">
      <c r="A15" t="inlineStr">
        <is>
          <t>- Solar: CAPEX investment, long-term savings</t>
        </is>
      </c>
    </row>
    <row r="16">
      <c r="A16" t="inlineStr">
        <is>
          <t>- Trees: Low cost, slow reduction, good for PR</t>
        </is>
      </c>
    </row>
    <row r="17">
      <c r="A17" t="inlineStr">
        <is>
          <t>- Green Electricity: Operating cost, immediate impact</t>
        </is>
      </c>
    </row>
    <row r="18">
      <c r="A18" t="inlineStr">
        <is>
          <t>- CO2 Credits: Quick fix, no long-term benefit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STRATEGY SELECTOR - CO2 Abatement Calculator</t>
        </is>
      </c>
    </row>
    <row r="2">
      <c r="A2" s="2" t="inlineStr">
        <is>
          <t>Compare ROI of green initiatives vs. paying CO2 taxes.</t>
        </is>
      </c>
    </row>
    <row r="4">
      <c r="A4" s="3" t="inlineStr">
        <is>
          <t>SECTION A: CURRENT BASELINE</t>
        </is>
      </c>
    </row>
    <row r="6">
      <c r="A6" t="inlineStr">
        <is>
          <t>Current CO2 Emissions (Tons/Year)</t>
        </is>
      </c>
      <c r="B6" s="10" t="n">
        <v>0</v>
      </c>
    </row>
    <row r="7">
      <c r="A7" t="inlineStr">
        <is>
          <t>Current CO2 Tax Bill ($)</t>
        </is>
      </c>
      <c r="B7" s="15">
        <f>B6*IMPACT_CONFIG!$B$4</f>
        <v/>
      </c>
    </row>
    <row r="8">
      <c r="A8" t="inlineStr">
        <is>
          <t>Energy Consumption (kWh/Year)</t>
        </is>
      </c>
      <c r="B8" s="16" t="n">
        <v>0</v>
      </c>
    </row>
    <row r="10">
      <c r="A10" s="3" t="inlineStr">
        <is>
          <t>SECTION B: INVESTMENT SIMULATOR</t>
        </is>
      </c>
    </row>
    <row r="11">
      <c r="A11" s="2" t="inlineStr">
        <is>
          <t>Enter quantities in yellow cells to see impact.</t>
        </is>
      </c>
    </row>
    <row r="12">
      <c r="A12" s="6" t="inlineStr">
        <is>
          <t>Initiative</t>
        </is>
      </c>
      <c r="B12" s="6" t="inlineStr">
        <is>
          <t>Quantity</t>
        </is>
      </c>
      <c r="C12" s="6" t="inlineStr">
        <is>
          <t>Investment/Cost</t>
        </is>
      </c>
      <c r="D12" s="6" t="inlineStr">
        <is>
          <t>CO2 Reduced (Tons)</t>
        </is>
      </c>
      <c r="E12" s="6" t="inlineStr">
        <is>
          <t>Tax Savings ($)</t>
        </is>
      </c>
      <c r="F12" s="6" t="inlineStr">
        <is>
          <t>Net Annual Benefit</t>
        </is>
      </c>
      <c r="G12" s="6" t="inlineStr">
        <is>
          <t>Payback (Years)</t>
        </is>
      </c>
      <c r="H12" s="6" t="inlineStr">
        <is>
          <t>Cost per Ton</t>
        </is>
      </c>
    </row>
    <row r="13">
      <c r="A13" s="7" t="inlineStr">
        <is>
          <t>Solar PV Panels</t>
        </is>
      </c>
      <c r="B13" s="17" t="n">
        <v>0</v>
      </c>
      <c r="C13" s="15">
        <f>B13*IMPACT_CONFIG!B8</f>
        <v/>
      </c>
      <c r="D13" s="18">
        <f>B13*IMPACT_CONFIG!C8</f>
        <v/>
      </c>
      <c r="E13" s="15">
        <f>D13*IMPACT_CONFIG!$B$4</f>
        <v/>
      </c>
      <c r="F13" s="15">
        <f>E13</f>
        <v/>
      </c>
      <c r="G13" s="19">
        <f>IF(E13&gt;0,C13/E13,"N/A")</f>
        <v/>
      </c>
      <c r="H13" s="20">
        <f>IF(D13&gt;0,C13/D13,0)</f>
        <v/>
      </c>
      <c r="I13">
        <f>IMPACT_CONFIG!$B$4</f>
        <v/>
      </c>
    </row>
    <row r="14">
      <c r="A14" s="11" t="inlineStr">
        <is>
          <t>Trees Planted</t>
        </is>
      </c>
      <c r="B14" s="17" t="n">
        <v>0</v>
      </c>
      <c r="C14" s="15">
        <f>B14*IMPACT_CONFIG!B9</f>
        <v/>
      </c>
      <c r="D14" s="18">
        <f>B14*IMPACT_CONFIG!C9</f>
        <v/>
      </c>
      <c r="E14" s="15">
        <f>D14*IMPACT_CONFIG!$B$4</f>
        <v/>
      </c>
      <c r="F14" s="15">
        <f>E14</f>
        <v/>
      </c>
      <c r="G14" s="19">
        <f>IF(E14&gt;0,C14/E14,"N/A")</f>
        <v/>
      </c>
      <c r="H14" s="20">
        <f>IF(D14&gt;0,C14/D14,0)</f>
        <v/>
      </c>
      <c r="I14">
        <f>IMPACT_CONFIG!$B$4</f>
        <v/>
      </c>
    </row>
    <row r="15">
      <c r="A15" s="12" t="inlineStr">
        <is>
          <t>Green Electricity</t>
        </is>
      </c>
      <c r="B15" s="21" t="n">
        <v>0</v>
      </c>
      <c r="C15" s="15">
        <f>$B$8*B15*IMPACT_CONFIG!B10</f>
        <v/>
      </c>
      <c r="D15" s="18">
        <f>$B$8*B15*IMPACT_CONFIG!C10</f>
        <v/>
      </c>
      <c r="E15" s="15">
        <f>D15*IMPACT_CONFIG!$B$4</f>
        <v/>
      </c>
      <c r="F15" s="15">
        <f>E15-C15</f>
        <v/>
      </c>
      <c r="G15" s="22" t="inlineStr">
        <is>
          <t>N/A (OpEx)</t>
        </is>
      </c>
      <c r="H15" s="20">
        <f>IF(D15&gt;0,C15/D15,0)</f>
        <v/>
      </c>
      <c r="I15">
        <f>IMPACT_CONFIG!$B$4</f>
        <v/>
      </c>
    </row>
    <row r="16">
      <c r="A16" s="13" t="inlineStr">
        <is>
          <t>CO2 Credits</t>
        </is>
      </c>
      <c r="B16" s="17" t="n">
        <v>0</v>
      </c>
      <c r="C16" s="15">
        <f>B16*IMPACT_CONFIG!B11</f>
        <v/>
      </c>
      <c r="D16" s="18">
        <f>B16*IMPACT_CONFIG!C11</f>
        <v/>
      </c>
      <c r="E16" s="15">
        <f>D16*IMPACT_CONFIG!$B$4</f>
        <v/>
      </c>
      <c r="F16" s="15">
        <f>E16-C16</f>
        <v/>
      </c>
      <c r="G16" s="22" t="inlineStr">
        <is>
          <t>N/A (OpEx)</t>
        </is>
      </c>
      <c r="H16" s="20">
        <f>IF(D16&gt;0,C16/D16,0)</f>
        <v/>
      </c>
      <c r="I16">
        <f>IMPACT_CONFIG!$B$4</f>
        <v/>
      </c>
    </row>
    <row r="18">
      <c r="A18" s="3" t="inlineStr">
        <is>
          <t>SECTION C: THE VERDICT</t>
        </is>
      </c>
    </row>
    <row r="20">
      <c r="A20" t="inlineStr">
        <is>
          <t>Total CO2 Reduced</t>
        </is>
      </c>
      <c r="B20" s="23">
        <f>SUM(D13:D16)</f>
        <v/>
      </c>
      <c r="C20" t="inlineStr">
        <is>
          <t>tons/year</t>
        </is>
      </c>
    </row>
    <row r="21">
      <c r="A21" t="inlineStr">
        <is>
          <t>Total Investment Required</t>
        </is>
      </c>
      <c r="B21" s="24">
        <f>SUM(C13:C16)</f>
        <v/>
      </c>
    </row>
    <row r="22">
      <c r="A22" t="inlineStr">
        <is>
          <t>New Tax Bill</t>
        </is>
      </c>
      <c r="B22" s="20">
        <f>MAX(0,(B6-B20)*IMPACT_CONFIG!B4)</f>
        <v/>
      </c>
    </row>
    <row r="23">
      <c r="A23" t="inlineStr">
        <is>
          <t>Annual Savings</t>
        </is>
      </c>
      <c r="B23" s="25">
        <f>B7-B22</f>
        <v/>
      </c>
    </row>
    <row r="25">
      <c r="A25" s="3" t="inlineStr">
        <is>
          <t>SECTION D: STRATEGY ALIGNMENT</t>
        </is>
      </c>
    </row>
    <row r="26">
      <c r="A26" s="26" t="inlineStr">
        <is>
          <t>Target</t>
        </is>
      </c>
      <c r="B26" s="26" t="inlineStr">
        <is>
          <t>Goal</t>
        </is>
      </c>
      <c r="C26" s="26" t="inlineStr">
        <is>
          <t>Current</t>
        </is>
      </c>
      <c r="D26" s="26" t="inlineStr">
        <is>
          <t>Status</t>
        </is>
      </c>
    </row>
    <row r="27">
      <c r="A27" s="27" t="inlineStr">
        <is>
          <t>Carbon Neutral Year</t>
        </is>
      </c>
      <c r="B27" s="27" t="n">
        <v>2030</v>
      </c>
      <c r="C27" s="17" t="inlineStr">
        <is>
          <t>TBD</t>
        </is>
      </c>
      <c r="D27" s="27">
        <f>IF(C27="TBD", "PENDING", IF(C27&lt;=B27, "ON TRACK", "BEHIND"))</f>
        <v/>
      </c>
    </row>
    <row r="28">
      <c r="A28" s="27" t="inlineStr">
        <is>
          <t>Product Recyclability %</t>
        </is>
      </c>
      <c r="B28" s="28" t="n">
        <v>1</v>
      </c>
      <c r="C28" s="21" t="n">
        <v>0</v>
      </c>
      <c r="D28" s="27">
        <f>IF(C28&gt;=B28, "COMPLIANT", "GAP: "&amp;TEXT(B28-C28,"0%"))</f>
        <v/>
      </c>
    </row>
    <row r="29">
      <c r="A29" s="27" t="inlineStr">
        <is>
          <t>Fair Wage (vs Market)</t>
        </is>
      </c>
      <c r="B29" s="29" t="n">
        <v>1.1</v>
      </c>
      <c r="C29" s="30" t="n">
        <v>1</v>
      </c>
      <c r="D29" s="27">
        <f>IF(C29&gt;=B29, "COMPLIANT", "RAISE WAGES")</f>
        <v/>
      </c>
    </row>
  </sheetData>
  <conditionalFormatting sqref="H13:H1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13:G16">
    <cfRule type="expression" priority="2" dxfId="0">
      <formula>AND(ISNUMBER(G13),G13&gt;5)</formula>
    </cfRule>
  </conditionalFormatting>
  <conditionalFormatting sqref="D27:D29">
    <cfRule type="expression" priority="3" dxfId="1">
      <formula>OR(D27="ON TRACK", D27="COMPLIANT")</formula>
    </cfRule>
    <cfRule type="expression" priority="4" dxfId="2">
      <formula>OR(LEFT(D27,3)="GAP", D27="BEHIND", D27="RAISE WAGES")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1" t="inlineStr">
        <is>
          <t>UPLOAD READY DATA - DO NOT EDIT</t>
        </is>
      </c>
    </row>
    <row r="5">
      <c r="A5" s="32" t="inlineStr">
        <is>
          <t>Initiative</t>
        </is>
      </c>
      <c r="B5" s="32" t="inlineStr">
        <is>
          <t>Quantity</t>
        </is>
      </c>
      <c r="C5" s="32" t="inlineStr">
        <is>
          <t>Investment</t>
        </is>
      </c>
      <c r="D5" s="32" t="inlineStr">
        <is>
          <t>CO2 Reduction</t>
        </is>
      </c>
      <c r="E5" s="32" t="inlineStr">
        <is>
          <t>Tax Savings</t>
        </is>
      </c>
    </row>
    <row r="6">
      <c r="A6" t="inlineStr">
        <is>
          <t>Solar PV Panels</t>
        </is>
      </c>
      <c r="B6">
        <f>STRATEGY_SELECTOR!B13</f>
        <v/>
      </c>
      <c r="C6">
        <f>STRATEGY_SELECTOR!C13</f>
        <v/>
      </c>
      <c r="D6">
        <f>STRATEGY_SELECTOR!D13</f>
        <v/>
      </c>
      <c r="E6">
        <f>STRATEGY_SELECTOR!E13</f>
        <v/>
      </c>
    </row>
    <row r="7">
      <c r="A7" t="inlineStr">
        <is>
          <t>Trees Planted</t>
        </is>
      </c>
      <c r="B7">
        <f>STRATEGY_SELECTOR!B14</f>
        <v/>
      </c>
      <c r="C7">
        <f>STRATEGY_SELECTOR!C14</f>
        <v/>
      </c>
      <c r="D7">
        <f>STRATEGY_SELECTOR!D14</f>
        <v/>
      </c>
      <c r="E7">
        <f>STRATEGY_SELECTOR!E14</f>
        <v/>
      </c>
    </row>
    <row r="8">
      <c r="A8" t="inlineStr">
        <is>
          <t>Green Electricity</t>
        </is>
      </c>
      <c r="B8">
        <f>STRATEGY_SELECTOR!B15</f>
        <v/>
      </c>
      <c r="C8">
        <f>STRATEGY_SELECTOR!C15</f>
        <v/>
      </c>
      <c r="D8">
        <f>STRATEGY_SELECTOR!D15</f>
        <v/>
      </c>
      <c r="E8">
        <f>STRATEGY_SELECTOR!E15</f>
        <v/>
      </c>
    </row>
    <row r="9">
      <c r="A9" t="inlineStr">
        <is>
          <t>CO2 Credits</t>
        </is>
      </c>
      <c r="B9">
        <f>STRATEGY_SELECTOR!B16</f>
        <v/>
      </c>
      <c r="C9">
        <f>STRATEGY_SELECTOR!C16</f>
        <v/>
      </c>
      <c r="D9">
        <f>STRATEGY_SELECTOR!D16</f>
        <v/>
      </c>
      <c r="E9">
        <f>STRATEGY_SELECTOR!E16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3" t="inlineStr">
        <is>
          <t>CROSS-REFERENCE SUMMARY - Upstream Support</t>
        </is>
      </c>
    </row>
    <row r="2">
      <c r="A2" s="2" t="inlineStr">
        <is>
          <t>Key metrics from Production and Logistics.</t>
        </is>
      </c>
    </row>
    <row r="4">
      <c r="A4" s="34" t="inlineStr">
        <is>
          <t>Production (Output)</t>
        </is>
      </c>
    </row>
    <row r="5">
      <c r="A5" s="27" t="inlineStr">
        <is>
          <t>Total Production</t>
        </is>
      </c>
      <c r="B5" s="27" t="inlineStr">
        <is>
          <t>N/A</t>
        </is>
      </c>
    </row>
    <row r="6">
      <c r="A6" s="27" t="inlineStr">
        <is>
          <t>Avg Utilization</t>
        </is>
      </c>
      <c r="B6" s="27" t="inlineStr">
        <is>
          <t>N/A</t>
        </is>
      </c>
    </row>
    <row r="9">
      <c r="A9" s="35" t="inlineStr">
        <is>
          <t>Logistics (Transport)</t>
        </is>
      </c>
    </row>
    <row r="10">
      <c r="A10" s="27" t="inlineStr">
        <is>
          <t>Logistics Costs</t>
        </is>
      </c>
      <c r="B10" s="27" t="inlineStr">
        <is>
          <t>$0</t>
        </is>
      </c>
    </row>
    <row r="11">
      <c r="A11" s="27" t="inlineStr">
        <is>
          <t>Shipping Volume</t>
        </is>
      </c>
      <c r="B11" s="27" t="inlineStr">
        <is>
          <t>See CLO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2026-01-04T16:23:38Z</dcterms:created>
  <dcterms:modified xsi:type="dcterms:W3CDTF">2026-01-04T16:23:38Z</dcterms:modified>
</cp:coreProperties>
</file>