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 CONFIG" sheetId="1" state="visible" r:id="rId1"/>
    <sheet name="COST ANALYSIS" sheetId="2" state="visible" r:id="rId2"/>
    <sheet name="MRP ENGINE" sheetId="3" state="visible" r:id="rId3"/>
    <sheet name="CASH FLOW PREVIEW" sheetId="4" state="visible" r:id="rId4"/>
    <sheet name="UPLOAD READY PROCUREMENT" sheetId="5" state="visible" r:id="rId5"/>
    <sheet name="CROSS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164" fontId="0" fillId="0" borderId="1" pivotButton="0" quotePrefix="0" xfId="0"/>
    <xf numFmtId="166" fontId="0" fillId="0" borderId="1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Inventory Sawtooth &amp; Stockout Risk</a:t>
            </a:r>
          </a:p>
        </rich>
      </tx>
    </title>
    <plotArea>
      <lineChart>
        <grouping val="standard"/>
        <ser>
          <idx val="0"/>
          <order val="0"/>
          <tx>
            <v>Part A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ENGINE'!$B$14:$I$14</f>
            </numRef>
          </val>
        </ser>
        <ser>
          <idx val="1"/>
          <order val="1"/>
          <tx>
            <v>Part B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ENGINE'!$B$26:$I$26</f>
            </numRef>
          </val>
        </ser>
        <ser>
          <idx val="2"/>
          <order val="2"/>
          <tx>
            <v>Stockout Line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ENGINE'!$B$40:$I$40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Inventory 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Drain Heatmap by Supplier</a:t>
            </a:r>
          </a:p>
        </rich>
      </tx>
    </title>
    <plotArea>
      <barChart>
        <barDir val="col"/>
        <grouping val="stacked"/>
        <ser>
          <idx val="0"/>
          <order val="0"/>
          <tx>
            <v>Supplier A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PREVIEW'!$B$6:$I$6</f>
            </numRef>
          </val>
        </ser>
        <ser>
          <idx val="1"/>
          <order val="1"/>
          <tx>
            <v>Supplier B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PREVIEW'!$B$7:$I$7</f>
            </numRef>
          </val>
        </ser>
        <ser>
          <idx val="2"/>
          <order val="2"/>
          <tx>
            <v>Supplier C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PREVIEW'!$B$8:$I$8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Outflow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125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100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140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330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264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370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60</v>
      </c>
      <c r="C16" s="6" t="n">
        <v>1</v>
      </c>
    </row>
    <row r="17">
      <c r="A17" s="5" t="inlineStr">
        <is>
          <t>Piece 2</t>
        </is>
      </c>
      <c r="B17" s="7" t="n">
        <v>7</v>
      </c>
      <c r="C17" s="6" t="n">
        <v>100</v>
      </c>
    </row>
    <row r="18">
      <c r="A18" s="5" t="inlineStr">
        <is>
          <t>Piece 3</t>
        </is>
      </c>
      <c r="B18" s="7" t="n">
        <v>36</v>
      </c>
      <c r="C18" s="6" t="n">
        <v>30</v>
      </c>
    </row>
    <row r="19">
      <c r="A19" s="5" t="inlineStr">
        <is>
          <t>Piece 4</t>
        </is>
      </c>
      <c r="B19" s="7" t="n">
        <v>24</v>
      </c>
      <c r="C19" s="6" t="n">
        <v>60</v>
      </c>
    </row>
    <row r="20">
      <c r="A20" s="5" t="inlineStr">
        <is>
          <t>Piece 5</t>
        </is>
      </c>
      <c r="B20" s="7" t="n">
        <v>30</v>
      </c>
      <c r="C20" s="6" t="n">
        <v>100</v>
      </c>
    </row>
    <row r="21">
      <c r="A21" s="5" t="inlineStr">
        <is>
          <t>Piece 6</t>
        </is>
      </c>
      <c r="B21" s="7" t="n">
        <v>28</v>
      </c>
      <c r="C21" s="6" t="n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15" customWidth="1" min="5" max="5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  <row r="22">
      <c r="A22" s="3" t="inlineStr">
        <is>
          <t>MATERIAL COST ANALYZER</t>
        </is>
      </c>
    </row>
    <row r="23">
      <c r="A23" s="13" t="inlineStr">
        <is>
          <t>Item</t>
        </is>
      </c>
      <c r="B23" s="13" t="inlineStr">
        <is>
          <t>Avg Supplier Cost</t>
        </is>
      </c>
      <c r="C23" s="13" t="inlineStr">
        <is>
          <t>BOM Target</t>
        </is>
      </c>
      <c r="D23" s="13" t="inlineStr">
        <is>
          <t>Variance %</t>
        </is>
      </c>
      <c r="E23" s="13" t="inlineStr">
        <is>
          <t>Status</t>
        </is>
      </c>
    </row>
    <row r="24">
      <c r="A24" s="5" t="inlineStr">
        <is>
          <t>Part A</t>
        </is>
      </c>
      <c r="B24" s="14">
        <f>AVERAGE('SUPPLIER CONFIG'!D6:D8)</f>
        <v/>
      </c>
      <c r="C24" s="14" t="n">
        <v>125</v>
      </c>
      <c r="D24" s="15">
        <f>IF(C24&gt;0, (B24-C24)/C24, 0)</f>
        <v/>
      </c>
      <c r="E24" s="11">
        <f>IF(B24&gt;C24, "OVER BUDGET", "OK")</f>
        <v/>
      </c>
    </row>
    <row r="25">
      <c r="A25" s="5" t="inlineStr">
        <is>
          <t>Part B</t>
        </is>
      </c>
      <c r="B25" s="14">
        <f>AVERAGE('SUPPLIER CONFIG'!D9:D11)</f>
        <v/>
      </c>
      <c r="C25" s="14" t="n">
        <v>330</v>
      </c>
      <c r="D25" s="15">
        <f>IF(C25&gt;0, (B25-C25)/C25, 0)</f>
        <v/>
      </c>
      <c r="E25" s="11">
        <f>IF(B25&gt;C25, "OVER BUDGET", "OK")</f>
        <v/>
      </c>
    </row>
  </sheetData>
  <mergeCells count="1">
    <mergeCell ref="A17:D20"/>
  </mergeCells>
  <conditionalFormatting sqref="B11">
    <cfRule type="dataBar" priority="1">
      <dataBar>
        <cfvo type="min"/>
        <cfvo type="max"/>
        <color rgb="00638EC6"/>
      </dataBar>
    </cfRule>
  </conditionalFormatting>
  <conditionalFormatting sqref="B24:B25">
    <cfRule type="expression" priority="2" dxfId="0">
      <formula>B24&gt;C24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6" t="inlineStr">
        <is>
          <t>FN1</t>
        </is>
      </c>
      <c r="C5" s="16" t="inlineStr">
        <is>
          <t>FN2</t>
        </is>
      </c>
      <c r="D5" s="16" t="inlineStr">
        <is>
          <t>FN3</t>
        </is>
      </c>
      <c r="E5" s="16" t="inlineStr">
        <is>
          <t>FN4</t>
        </is>
      </c>
      <c r="F5" s="16" t="inlineStr">
        <is>
          <t>FN5</t>
        </is>
      </c>
      <c r="G5" s="16" t="inlineStr">
        <is>
          <t>FN6</t>
        </is>
      </c>
      <c r="H5" s="16" t="inlineStr">
        <is>
          <t>FN7</t>
        </is>
      </c>
      <c r="I5" s="16" t="inlineStr">
        <is>
          <t>FN8</t>
        </is>
      </c>
    </row>
    <row r="6">
      <c r="A6" s="5" t="inlineStr">
        <is>
          <t>Target Production (from Production Plan)</t>
        </is>
      </c>
      <c r="B6" s="6">
        <f>'CROSS REFERENCE'!B11</f>
        <v/>
      </c>
      <c r="C6" s="6">
        <f>'CROSS REFERENCE'!B11</f>
        <v/>
      </c>
      <c r="D6" s="6">
        <f>'CROSS REFERENCE'!B11</f>
        <v/>
      </c>
      <c r="E6" s="6">
        <f>'CROSS REFERENCE'!B11</f>
        <v/>
      </c>
      <c r="F6" s="6">
        <f>'CROSS REFERENCE'!B11</f>
        <v/>
      </c>
      <c r="G6" s="6">
        <f>'CROSS REFERENCE'!B11</f>
        <v/>
      </c>
      <c r="H6" s="6">
        <f>'CROSS REFERENCE'!B11</f>
        <v/>
      </c>
      <c r="I6" s="6">
        <f>'CROSS REFERENCE'!B11</f>
        <v/>
      </c>
    </row>
    <row r="9">
      <c r="A9" s="3" t="inlineStr">
        <is>
          <t>SECTION B: NET REQUIREMENTS CALCULATION</t>
        </is>
      </c>
    </row>
    <row r="11">
      <c r="A11" s="17" t="inlineStr">
        <is>
          <t>PART A</t>
        </is>
      </c>
    </row>
    <row r="12">
      <c r="A12" s="5" t="inlineStr">
        <is>
          <t>Gross Requirement</t>
        </is>
      </c>
      <c r="B12" s="18">
        <f>$B$6</f>
        <v/>
      </c>
      <c r="C12" s="18">
        <f>$B$6</f>
        <v/>
      </c>
      <c r="D12" s="18">
        <f>$B$6</f>
        <v/>
      </c>
      <c r="E12" s="18">
        <f>$B$6</f>
        <v/>
      </c>
      <c r="F12" s="18">
        <f>$B$6</f>
        <v/>
      </c>
      <c r="G12" s="18">
        <f>$B$6</f>
        <v/>
      </c>
      <c r="H12" s="18">
        <f>$B$6</f>
        <v/>
      </c>
      <c r="I12" s="18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9">
        <f>0.0+B13-B12</f>
        <v/>
      </c>
      <c r="C14" s="19">
        <f>B14+C13-C12</f>
        <v/>
      </c>
      <c r="D14" s="19">
        <f>C14+D13-D12</f>
        <v/>
      </c>
      <c r="E14" s="19">
        <f>D14+E13-E12</f>
        <v/>
      </c>
      <c r="F14" s="19">
        <f>E14+F13-F12</f>
        <v/>
      </c>
      <c r="G14" s="19">
        <f>F14+G13-G12</f>
        <v/>
      </c>
      <c r="H14" s="19">
        <f>G14+H13-H12</f>
        <v/>
      </c>
      <c r="I14" s="19">
        <f>H14+I13-I12</f>
        <v/>
      </c>
    </row>
    <row r="15">
      <c r="A15" s="5" t="inlineStr">
        <is>
          <t>Net Deficit (if negative)</t>
        </is>
      </c>
      <c r="B15" s="20">
        <f>IF(B14&lt;0, -B14, 0)</f>
        <v/>
      </c>
      <c r="C15" s="20">
        <f>IF(C14&lt;0, -C14, 0)</f>
        <v/>
      </c>
      <c r="D15" s="20">
        <f>IF(D14&lt;0, -D14, 0)</f>
        <v/>
      </c>
      <c r="E15" s="20">
        <f>IF(E14&lt;0, -E14, 0)</f>
        <v/>
      </c>
      <c r="F15" s="20">
        <f>IF(F14&lt;0, -F14, 0)</f>
        <v/>
      </c>
      <c r="G15" s="20">
        <f>IF(G14&lt;0, -G14, 0)</f>
        <v/>
      </c>
      <c r="H15" s="20">
        <f>IF(H14&lt;0, -H14, 0)</f>
        <v/>
      </c>
      <c r="I15" s="20">
        <f>IF(I14&lt;0, -I14, 0)</f>
        <v/>
      </c>
    </row>
    <row r="17">
      <c r="A17" s="21" t="inlineStr">
        <is>
          <t>ORDERS FOR PART A</t>
        </is>
      </c>
    </row>
    <row r="18">
      <c r="A18" s="5" t="inlineStr">
        <is>
          <t>Order Supplier A (Lead:0, Batch:0)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>
      <c r="A19" s="5" t="inlineStr">
        <is>
          <t>Order Supplier B (Lead:0, Batch:0)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Order Supplier C (Lead:0, Batch:0)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</row>
    <row r="23">
      <c r="A23" s="17" t="inlineStr">
        <is>
          <t>PART B</t>
        </is>
      </c>
    </row>
    <row r="24">
      <c r="A24" s="5" t="inlineStr">
        <is>
          <t>Gross Requirement</t>
        </is>
      </c>
      <c r="B24" s="18">
        <f>$B$6</f>
        <v/>
      </c>
      <c r="C24" s="18">
        <f>$B$6</f>
        <v/>
      </c>
      <c r="D24" s="18">
        <f>$B$6</f>
        <v/>
      </c>
      <c r="E24" s="18">
        <f>$B$6</f>
        <v/>
      </c>
      <c r="F24" s="18">
        <f>$B$6</f>
        <v/>
      </c>
      <c r="G24" s="18">
        <f>$B$6</f>
        <v/>
      </c>
      <c r="H24" s="18">
        <f>$B$6</f>
        <v/>
      </c>
      <c r="I24" s="18">
        <f>$B$6</f>
        <v/>
      </c>
    </row>
    <row r="25">
      <c r="A25" s="5" t="inlineStr">
        <is>
          <t>Scheduled Arrivals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5" t="inlineStr">
        <is>
          <t>Projected Inventory</t>
        </is>
      </c>
      <c r="B26" s="19">
        <f>0.0+B25-B24</f>
        <v/>
      </c>
      <c r="C26" s="19">
        <f>B26+C25-C24</f>
        <v/>
      </c>
      <c r="D26" s="19">
        <f>C26+D25-D24</f>
        <v/>
      </c>
      <c r="E26" s="19">
        <f>D26+E25-E24</f>
        <v/>
      </c>
      <c r="F26" s="19">
        <f>E26+F25-F24</f>
        <v/>
      </c>
      <c r="G26" s="19">
        <f>F26+G25-G24</f>
        <v/>
      </c>
      <c r="H26" s="19">
        <f>G26+H25-H24</f>
        <v/>
      </c>
      <c r="I26" s="19">
        <f>H26+I25-I24</f>
        <v/>
      </c>
    </row>
    <row r="27">
      <c r="A27" s="5" t="inlineStr">
        <is>
          <t>Net Deficit (if negative)</t>
        </is>
      </c>
      <c r="B27" s="20">
        <f>IF(B26&lt;0, -B26, 0)</f>
        <v/>
      </c>
      <c r="C27" s="20">
        <f>IF(C26&lt;0, -C26, 0)</f>
        <v/>
      </c>
      <c r="D27" s="20">
        <f>IF(D26&lt;0, -D26, 0)</f>
        <v/>
      </c>
      <c r="E27" s="20">
        <f>IF(E26&lt;0, -E26, 0)</f>
        <v/>
      </c>
      <c r="F27" s="20">
        <f>IF(F26&lt;0, -F26, 0)</f>
        <v/>
      </c>
      <c r="G27" s="20">
        <f>IF(G26&lt;0, -G26, 0)</f>
        <v/>
      </c>
      <c r="H27" s="20">
        <f>IF(H26&lt;0, -H26, 0)</f>
        <v/>
      </c>
      <c r="I27" s="20">
        <f>IF(I26&lt;0, -I26, 0)</f>
        <v/>
      </c>
    </row>
    <row r="29">
      <c r="A29" s="21" t="inlineStr">
        <is>
          <t>ORDERS FOR PART B</t>
        </is>
      </c>
    </row>
    <row r="30">
      <c r="A30" s="5" t="inlineStr">
        <is>
          <t>Order Supplier A (Lead:0, Batch:0)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</row>
    <row r="31">
      <c r="A31" s="5" t="inlineStr">
        <is>
          <t>Order Supplier B (Lead:0, Batch:0)</t>
        </is>
      </c>
      <c r="B31" s="6" t="n">
        <v>0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</row>
    <row r="32">
      <c r="A32" s="5" t="inlineStr">
        <is>
          <t>Order Supplier C (Lead:0, Batch:0)</t>
        </is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</row>
    <row r="40" hidden="1">
      <c r="A40" t="inlineStr">
        <is>
          <t>Stockout Limit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</sheetData>
  <conditionalFormatting sqref="B14:I14">
    <cfRule type="expression" priority="1" dxfId="1">
      <formula>B14&lt;0</formula>
    </cfRule>
  </conditionalFormatting>
  <conditionalFormatting sqref="B26:I26">
    <cfRule type="expression" priority="2" dxfId="1">
      <formula>B26&lt;0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SUPPLIER</t>
        </is>
      </c>
    </row>
    <row r="5">
      <c r="A5" s="13" t="inlineStr">
        <is>
          <t>Supplier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Supplier A</t>
        </is>
      </c>
      <c r="B6" s="9">
        <f>'MRP ENGINE'!B18+'MRP ENGINE'!B30</f>
        <v/>
      </c>
      <c r="C6" s="9">
        <f>'MRP ENGINE'!C18+'MRP ENGINE'!C30</f>
        <v/>
      </c>
      <c r="D6" s="9">
        <f>'MRP ENGINE'!D18+'MRP ENGINE'!D30</f>
        <v/>
      </c>
      <c r="E6" s="9">
        <f>'MRP ENGINE'!E18+'MRP ENGINE'!E30</f>
        <v/>
      </c>
      <c r="F6" s="9">
        <f>'MRP ENGINE'!F18+'MRP ENGINE'!F30</f>
        <v/>
      </c>
      <c r="G6" s="9">
        <f>'MRP ENGINE'!G18+'MRP ENGINE'!G30</f>
        <v/>
      </c>
      <c r="H6" s="9">
        <f>'MRP ENGINE'!H18+'MRP ENGINE'!H30</f>
        <v/>
      </c>
      <c r="I6" s="9">
        <f>'MRP ENGINE'!I18+'MRP ENGINE'!I30</f>
        <v/>
      </c>
      <c r="J6" s="9">
        <f>SUM(B6:I6)</f>
        <v/>
      </c>
    </row>
    <row r="7">
      <c r="A7" s="5" t="inlineStr">
        <is>
          <t>Supplier B</t>
        </is>
      </c>
      <c r="B7" s="9">
        <f>'MRP ENGINE'!B19+'MRP ENGINE'!B31</f>
        <v/>
      </c>
      <c r="C7" s="9">
        <f>'MRP ENGINE'!C19+'MRP ENGINE'!C31</f>
        <v/>
      </c>
      <c r="D7" s="9">
        <f>'MRP ENGINE'!D19+'MRP ENGINE'!D31</f>
        <v/>
      </c>
      <c r="E7" s="9">
        <f>'MRP ENGINE'!E19+'MRP ENGINE'!E31</f>
        <v/>
      </c>
      <c r="F7" s="9">
        <f>'MRP ENGINE'!F19+'MRP ENGINE'!F31</f>
        <v/>
      </c>
      <c r="G7" s="9">
        <f>'MRP ENGINE'!G19+'MRP ENGINE'!G31</f>
        <v/>
      </c>
      <c r="H7" s="9">
        <f>'MRP ENGINE'!H19+'MRP ENGINE'!H31</f>
        <v/>
      </c>
      <c r="I7" s="9">
        <f>'MRP ENGINE'!I19+'MRP ENGINE'!I31</f>
        <v/>
      </c>
      <c r="J7" s="9">
        <f>SUM(B7:I7)</f>
        <v/>
      </c>
    </row>
    <row r="8">
      <c r="A8" s="5" t="inlineStr">
        <is>
          <t>Supplier C</t>
        </is>
      </c>
      <c r="B8" s="9">
        <f>'MRP ENGINE'!B20+'MRP ENGINE'!B32</f>
        <v/>
      </c>
      <c r="C8" s="9">
        <f>'MRP ENGINE'!C20+'MRP ENGINE'!C32</f>
        <v/>
      </c>
      <c r="D8" s="9">
        <f>'MRP ENGINE'!D20+'MRP ENGINE'!D32</f>
        <v/>
      </c>
      <c r="E8" s="9">
        <f>'MRP ENGINE'!E20+'MRP ENGINE'!E32</f>
        <v/>
      </c>
      <c r="F8" s="9">
        <f>'MRP ENGINE'!F20+'MRP ENGINE'!F32</f>
        <v/>
      </c>
      <c r="G8" s="9">
        <f>'MRP ENGINE'!G20+'MRP ENGINE'!G32</f>
        <v/>
      </c>
      <c r="H8" s="9">
        <f>'MRP ENGINE'!H20+'MRP ENGINE'!H32</f>
        <v/>
      </c>
      <c r="I8" s="9">
        <f>'MRP ENGINE'!I20+'MRP ENGINE'!I32</f>
        <v/>
      </c>
      <c r="J8" s="9">
        <f>SUM(B8:I8)</f>
        <v/>
      </c>
    </row>
    <row r="9">
      <c r="A9" s="21" t="inlineStr">
        <is>
          <t>TOTAL SPEND</t>
        </is>
      </c>
      <c r="B9" s="22">
        <f>SUM(B6:B8)</f>
        <v/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3">
        <f>SUM(B9:I9)</f>
        <v/>
      </c>
    </row>
    <row r="29">
      <c r="A29" s="3" t="inlineStr">
        <is>
          <t>BUDGET TRACKING</t>
        </is>
      </c>
    </row>
    <row r="30">
      <c r="A30" s="5" t="inlineStr">
        <is>
          <t>Total Budget</t>
        </is>
      </c>
      <c r="B30" s="24" t="n">
        <v>100000</v>
      </c>
    </row>
    <row r="31">
      <c r="A31" s="5" t="inlineStr">
        <is>
          <t>Total Projected Spend</t>
        </is>
      </c>
      <c r="B31" s="9">
        <f>J9</f>
        <v/>
      </c>
    </row>
    <row r="32">
      <c r="A32" s="5" t="inlineStr">
        <is>
          <t>Remaining Budget</t>
        </is>
      </c>
      <c r="B32" s="22">
        <f>B30-B31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'MRP ENGINE'!B18</f>
        <v/>
      </c>
      <c r="E6" s="6">
        <f>'MRP ENGINE'!C18</f>
        <v/>
      </c>
      <c r="F6" s="6">
        <f>'MRP ENGINE'!D18</f>
        <v/>
      </c>
      <c r="G6" s="6">
        <f>'MRP ENGINE'!E18</f>
        <v/>
      </c>
      <c r="H6" s="6">
        <f>'MRP ENGINE'!F18</f>
        <v/>
      </c>
      <c r="I6" s="6">
        <f>'MRP ENGINE'!G18</f>
        <v/>
      </c>
      <c r="J6" s="6">
        <f>'MRP ENGINE'!H18</f>
        <v/>
      </c>
      <c r="K6" s="6">
        <f>'MRP ENGINE'!I18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'MRP ENGINE'!B30</f>
        <v/>
      </c>
      <c r="E7" s="6">
        <f>'MRP ENGINE'!C30</f>
        <v/>
      </c>
      <c r="F7" s="6">
        <f>'MRP ENGINE'!D30</f>
        <v/>
      </c>
      <c r="G7" s="6">
        <f>'MRP ENGINE'!E30</f>
        <v/>
      </c>
      <c r="H7" s="6">
        <f>'MRP ENGINE'!F30</f>
        <v/>
      </c>
      <c r="I7" s="6">
        <f>'MRP ENGINE'!G30</f>
        <v/>
      </c>
      <c r="J7" s="6">
        <f>'MRP ENGINE'!H30</f>
        <v/>
      </c>
      <c r="K7" s="6">
        <f>'MRP ENGINE'!I30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'MRP ENGINE'!B19</f>
        <v/>
      </c>
      <c r="E8" s="6">
        <f>'MRP ENGINE'!C19</f>
        <v/>
      </c>
      <c r="F8" s="6">
        <f>'MRP ENGINE'!D19</f>
        <v/>
      </c>
      <c r="G8" s="6">
        <f>'MRP ENGINE'!E19</f>
        <v/>
      </c>
      <c r="H8" s="6">
        <f>'MRP ENGINE'!F19</f>
        <v/>
      </c>
      <c r="I8" s="6">
        <f>'MRP ENGINE'!G19</f>
        <v/>
      </c>
      <c r="J8" s="6">
        <f>'MRP ENGINE'!H19</f>
        <v/>
      </c>
      <c r="K8" s="6">
        <f>'MRP ENGINE'!I19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'MRP ENGINE'!B31</f>
        <v/>
      </c>
      <c r="E9" s="6">
        <f>'MRP ENGINE'!C31</f>
        <v/>
      </c>
      <c r="F9" s="6">
        <f>'MRP ENGINE'!D31</f>
        <v/>
      </c>
      <c r="G9" s="6">
        <f>'MRP ENGINE'!E31</f>
        <v/>
      </c>
      <c r="H9" s="6">
        <f>'MRP ENGINE'!F31</f>
        <v/>
      </c>
      <c r="I9" s="6">
        <f>'MRP ENGINE'!G31</f>
        <v/>
      </c>
      <c r="J9" s="6">
        <f>'MRP ENGINE'!H31</f>
        <v/>
      </c>
      <c r="K9" s="6">
        <f>'MRP ENGINE'!I31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'MRP ENGINE'!B20</f>
        <v/>
      </c>
      <c r="E10" s="6">
        <f>'MRP ENGINE'!C20</f>
        <v/>
      </c>
      <c r="F10" s="6">
        <f>'MRP ENGINE'!D20</f>
        <v/>
      </c>
      <c r="G10" s="6">
        <f>'MRP ENGINE'!E20</f>
        <v/>
      </c>
      <c r="H10" s="6">
        <f>'MRP ENGINE'!F20</f>
        <v/>
      </c>
      <c r="I10" s="6">
        <f>'MRP ENGINE'!G20</f>
        <v/>
      </c>
      <c r="J10" s="6">
        <f>'MRP ENGINE'!H20</f>
        <v/>
      </c>
      <c r="K10" s="6">
        <f>'MRP ENGINE'!I20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'MRP ENGINE'!B32</f>
        <v/>
      </c>
      <c r="E11" s="6">
        <f>'MRP ENGINE'!C32</f>
        <v/>
      </c>
      <c r="F11" s="6">
        <f>'MRP ENGINE'!D32</f>
        <v/>
      </c>
      <c r="G11" s="6">
        <f>'MRP ENGINE'!E32</f>
        <v/>
      </c>
      <c r="H11" s="6">
        <f>'MRP ENGINE'!F32</f>
        <v/>
      </c>
      <c r="I11" s="6">
        <f>'MRP ENGINE'!G32</f>
        <v/>
      </c>
      <c r="J11" s="6">
        <f>'MRP ENGINE'!H32</f>
        <v/>
      </c>
      <c r="K11" s="6">
        <f>'MRP ENGINE'!I32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CROSS-REFERENCE SUMMARY</t>
        </is>
      </c>
    </row>
    <row r="2">
      <c r="A2" s="2" t="inlineStr">
        <is>
          <t>Upstream data from Production Dashboard</t>
        </is>
      </c>
    </row>
    <row r="4">
      <c r="A4" s="3" t="inlineStr">
        <is>
          <t>PRODUCTION PLAN</t>
        </is>
      </c>
    </row>
    <row r="5">
      <c r="A5" s="13" t="inlineStr">
        <is>
          <t>Zone</t>
        </is>
      </c>
      <c r="B5" s="13" t="inlineStr">
        <is>
          <t>Target/FN</t>
        </is>
      </c>
    </row>
    <row r="6">
      <c r="A6" s="5" t="inlineStr">
        <is>
          <t>Center</t>
        </is>
      </c>
      <c r="B6" s="5" t="n">
        <v>0</v>
      </c>
    </row>
    <row r="7">
      <c r="A7" s="5" t="inlineStr">
        <is>
          <t>West</t>
        </is>
      </c>
      <c r="B7" s="5" t="n">
        <v>0</v>
      </c>
    </row>
    <row r="8">
      <c r="A8" s="5" t="inlineStr">
        <is>
          <t>North</t>
        </is>
      </c>
      <c r="B8" s="5" t="n">
        <v>0</v>
      </c>
    </row>
    <row r="9">
      <c r="A9" s="5" t="inlineStr">
        <is>
          <t>East</t>
        </is>
      </c>
      <c r="B9" s="5" t="n">
        <v>0</v>
      </c>
    </row>
    <row r="10">
      <c r="A10" s="5" t="inlineStr">
        <is>
          <t>South</t>
        </is>
      </c>
      <c r="B10" s="5" t="n">
        <v>0</v>
      </c>
    </row>
    <row r="11">
      <c r="A11" s="21" t="inlineStr">
        <is>
          <t>TOTAL</t>
        </is>
      </c>
      <c r="B11" s="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2026-01-08T11:49:47Z</dcterms:created>
  <dcterms:modified xsi:type="dcterms:W3CDTF">2026-01-08T11:49:47Z</dcterms:modified>
</cp:coreProperties>
</file>