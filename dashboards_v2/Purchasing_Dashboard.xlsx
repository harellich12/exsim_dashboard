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CONFIG" sheetId="1" state="visible" r:id="rId1"/>
    <sheet name="COST_ANALYSIS" sheetId="2" state="visible" r:id="rId2"/>
    <sheet name="MRP_ENGINE" sheetId="3" state="visible" r:id="rId3"/>
    <sheet name="CASH_FLOW_PREVIEW" sheetId="4" state="visible" r:id="rId4"/>
    <sheet name="UPLOAD_READY_PROCU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2F5496"/>
      <sz val="12"/>
    </font>
    <font>
      <b val="1"/>
      <color rgb="00FFFFFF"/>
    </font>
    <font>
      <b val="1"/>
    </font>
    <font>
      <b val="1"/>
      <color rgb="002F5496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5" fillId="0" borderId="1" pivotButton="0" quotePrefix="0" xfId="0"/>
    <xf numFmtId="0" fontId="0" fillId="4" borderId="0" applyAlignment="1" pivotButton="0" quotePrefix="0" xfId="0">
      <alignment vertical="top" wrapText="1"/>
    </xf>
    <xf numFmtId="0" fontId="4" fillId="2" borderId="0" pivotButton="0" quotePrefix="0" xfId="0"/>
    <xf numFmtId="164" fontId="0" fillId="0" borderId="1" pivotButton="0" quotePrefix="0" xfId="0"/>
    <xf numFmtId="166" fontId="0" fillId="0" borderId="1" pivotButton="0" quotePrefix="0" xfId="0"/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5" fillId="0" borderId="0" pivotButton="0" quotePrefix="0" xfId="0"/>
    <xf numFmtId="165" fontId="5" fillId="6" borderId="1" pivotButton="0" quotePrefix="0" xfId="0"/>
    <xf numFmtId="165" fontId="5" fillId="6" borderId="0" pivotButton="0" quotePrefix="0" xfId="0"/>
    <xf numFmtId="165" fontId="0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Inventory Sawtooth &amp; Stockout Risk</a:t>
            </a:r>
          </a:p>
        </rich>
      </tx>
    </title>
    <plotArea>
      <lineChart>
        <grouping val="standard"/>
        <ser>
          <idx val="0"/>
          <order val="0"/>
          <tx>
            <v>Part A Inv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'MRP_ENGINE'!$B$14:$I$14</f>
            </numRef>
          </val>
        </ser>
        <ser>
          <idx val="1"/>
          <order val="1"/>
          <tx>
            <v>Part B Inv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'MRP_ENGINE'!$B$26:$I$26</f>
            </numRef>
          </val>
        </ser>
        <ser>
          <idx val="2"/>
          <order val="2"/>
          <tx>
            <v>Stockout Line</v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'MRP_ENGINE'!$B$40:$I$40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Inventory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Cash Drain Heatmap by Supplier</a:t>
            </a:r>
          </a:p>
        </rich>
      </tx>
    </title>
    <plotArea>
      <barChart>
        <barDir val="col"/>
        <grouping val="stacked"/>
        <ser>
          <idx val="0"/>
          <order val="0"/>
          <tx>
            <v>Supplier A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'CASH_FLOW_PREVIEW'!$B$6:$I$6</f>
            </numRef>
          </val>
        </ser>
        <ser>
          <idx val="1"/>
          <order val="1"/>
          <tx>
            <v>Supplier B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'CASH_FLOW_PREVIEW'!$B$7:$I$7</f>
            </numRef>
          </val>
        </ser>
        <ser>
          <idx val="2"/>
          <order val="2"/>
          <tx>
            <v>Supplier C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'CASH_FLOW_PREVIEW'!$B$8:$I$8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 Outflow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SUPPLIER CONFIGURATION</t>
        </is>
      </c>
    </row>
    <row r="2">
      <c r="A2" s="2" t="inlineStr">
        <is>
          <t>Enter your case study supplier data here. Pre-filled with defaults.</t>
        </is>
      </c>
    </row>
    <row r="4">
      <c r="A4" s="3" t="inlineStr">
        <is>
          <t>TABLE 1: PARTS SUPPLIERS</t>
        </is>
      </c>
    </row>
    <row r="5">
      <c r="A5" s="4" t="inlineStr">
        <is>
          <t>Part</t>
        </is>
      </c>
      <c r="B5" s="4" t="inlineStr">
        <is>
          <t>Supplier</t>
        </is>
      </c>
      <c r="C5" s="4" t="inlineStr">
        <is>
          <t>Lead Time (FN)</t>
        </is>
      </c>
      <c r="D5" s="4" t="inlineStr">
        <is>
          <t>Cost/Unit</t>
        </is>
      </c>
      <c r="E5" s="4" t="inlineStr">
        <is>
          <t>Payment Terms (FN)</t>
        </is>
      </c>
      <c r="F5" s="4" t="inlineStr">
        <is>
          <t>Batch Size</t>
        </is>
      </c>
    </row>
    <row r="6">
      <c r="A6" s="5" t="inlineStr">
        <is>
          <t>Part A</t>
        </is>
      </c>
      <c r="B6" s="6" t="inlineStr">
        <is>
          <t>Supplier A</t>
        </is>
      </c>
      <c r="C6" s="6" t="n">
        <v>0</v>
      </c>
      <c r="D6" s="7" t="n">
        <v>15</v>
      </c>
      <c r="E6" s="6" t="n">
        <v>0</v>
      </c>
      <c r="F6" s="6" t="n">
        <v>0</v>
      </c>
    </row>
    <row r="7">
      <c r="A7" s="5" t="inlineStr">
        <is>
          <t>Part A</t>
        </is>
      </c>
      <c r="B7" s="6" t="inlineStr">
        <is>
          <t>Supplier B</t>
        </is>
      </c>
      <c r="C7" s="6" t="n">
        <v>0</v>
      </c>
      <c r="D7" s="7" t="n">
        <v>15</v>
      </c>
      <c r="E7" s="6" t="n">
        <v>0</v>
      </c>
      <c r="F7" s="6" t="n">
        <v>0</v>
      </c>
    </row>
    <row r="8">
      <c r="A8" s="5" t="inlineStr">
        <is>
          <t>Part A</t>
        </is>
      </c>
      <c r="B8" s="6" t="inlineStr">
        <is>
          <t>Supplier C</t>
        </is>
      </c>
      <c r="C8" s="6" t="n">
        <v>0</v>
      </c>
      <c r="D8" s="7" t="n">
        <v>15</v>
      </c>
      <c r="E8" s="6" t="n">
        <v>0</v>
      </c>
      <c r="F8" s="6" t="n">
        <v>0</v>
      </c>
    </row>
    <row r="9">
      <c r="A9" s="5" t="inlineStr">
        <is>
          <t>Part B</t>
        </is>
      </c>
      <c r="B9" s="6" t="inlineStr">
        <is>
          <t>Supplier A</t>
        </is>
      </c>
      <c r="C9" s="6" t="n">
        <v>0</v>
      </c>
      <c r="D9" s="7" t="n">
        <v>25</v>
      </c>
      <c r="E9" s="6" t="n">
        <v>0</v>
      </c>
      <c r="F9" s="6" t="n">
        <v>0</v>
      </c>
    </row>
    <row r="10">
      <c r="A10" s="5" t="inlineStr">
        <is>
          <t>Part B</t>
        </is>
      </c>
      <c r="B10" s="6" t="inlineStr">
        <is>
          <t>Supplier B</t>
        </is>
      </c>
      <c r="C10" s="6" t="n">
        <v>0</v>
      </c>
      <c r="D10" s="7" t="n">
        <v>25</v>
      </c>
      <c r="E10" s="6" t="n">
        <v>0</v>
      </c>
      <c r="F10" s="6" t="n">
        <v>0</v>
      </c>
    </row>
    <row r="11">
      <c r="A11" s="5" t="inlineStr">
        <is>
          <t>Part B</t>
        </is>
      </c>
      <c r="B11" s="6" t="inlineStr">
        <is>
          <t>Supplier C</t>
        </is>
      </c>
      <c r="C11" s="6" t="n">
        <v>0</v>
      </c>
      <c r="D11" s="7" t="n">
        <v>25</v>
      </c>
      <c r="E11" s="6" t="n">
        <v>0</v>
      </c>
      <c r="F11" s="6" t="n">
        <v>0</v>
      </c>
    </row>
    <row r="14">
      <c r="A14" s="3" t="inlineStr">
        <is>
          <t>TABLE 2: PIECES CONFIGURATION</t>
        </is>
      </c>
    </row>
    <row r="15">
      <c r="A15" s="4" t="inlineStr">
        <is>
          <t>Piece Name</t>
        </is>
      </c>
      <c r="B15" s="4" t="inlineStr">
        <is>
          <t>Cost/Unit</t>
        </is>
      </c>
      <c r="C15" s="4" t="inlineStr">
        <is>
          <t>Batch Size</t>
        </is>
      </c>
    </row>
    <row r="16">
      <c r="A16" s="5" t="inlineStr">
        <is>
          <t>Piece 1</t>
        </is>
      </c>
      <c r="B16" s="7" t="n">
        <v>2</v>
      </c>
      <c r="C16" s="6" t="n">
        <v>0</v>
      </c>
    </row>
    <row r="17">
      <c r="A17" s="5" t="inlineStr">
        <is>
          <t>Piece 2</t>
        </is>
      </c>
      <c r="B17" s="7" t="n">
        <v>2</v>
      </c>
      <c r="C17" s="6" t="n">
        <v>0</v>
      </c>
    </row>
    <row r="18">
      <c r="A18" s="5" t="inlineStr">
        <is>
          <t>Piece 3</t>
        </is>
      </c>
      <c r="B18" s="7" t="n">
        <v>2</v>
      </c>
      <c r="C18" s="6" t="n">
        <v>0</v>
      </c>
    </row>
    <row r="19">
      <c r="A19" s="5" t="inlineStr">
        <is>
          <t>Piece 4</t>
        </is>
      </c>
      <c r="B19" s="7" t="n">
        <v>2</v>
      </c>
      <c r="C19" s="6" t="n">
        <v>0</v>
      </c>
    </row>
    <row r="20">
      <c r="A20" s="5" t="inlineStr">
        <is>
          <t>Piece 5</t>
        </is>
      </c>
      <c r="B20" s="7" t="n">
        <v>2</v>
      </c>
      <c r="C20" s="6" t="n">
        <v>0</v>
      </c>
    </row>
    <row r="21">
      <c r="A21" s="5" t="inlineStr">
        <is>
          <t>Piece 6</t>
        </is>
      </c>
      <c r="B21" s="7" t="n">
        <v>2</v>
      </c>
      <c r="C2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COST ANALYSIS - Batch Size Efficiency</t>
        </is>
      </c>
    </row>
    <row r="3">
      <c r="A3" s="3" t="inlineStr">
        <is>
          <t>PREVIOUS PERIOD COSTS</t>
        </is>
      </c>
    </row>
    <row r="5">
      <c r="A5" s="5" t="inlineStr">
        <is>
          <t>Ordering Cost (Total)</t>
        </is>
      </c>
      <c r="B5" s="8" t="n">
        <v>24244</v>
      </c>
    </row>
    <row r="6">
      <c r="A6" s="5" t="inlineStr">
        <is>
          <t>Holding Cost (Total)</t>
        </is>
      </c>
      <c r="B6" s="8" t="n">
        <v>3572</v>
      </c>
    </row>
    <row r="7">
      <c r="A7" s="5" t="inlineStr">
        <is>
          <t>Total Cost</t>
        </is>
      </c>
      <c r="B7" s="9">
        <f>B5+B6</f>
        <v/>
      </c>
    </row>
    <row r="9">
      <c r="A9" s="3" t="inlineStr">
        <is>
          <t>EFFICIENCY ANALYSIS</t>
        </is>
      </c>
    </row>
    <row r="11">
      <c r="A11" s="5" t="inlineStr">
        <is>
          <t>Ordering Cost Ratio</t>
        </is>
      </c>
      <c r="B11" s="10">
        <f>IF(B7&gt;0, B5/B7, 0)</f>
        <v/>
      </c>
    </row>
    <row r="13">
      <c r="A13" s="5" t="inlineStr">
        <is>
          <t>Efficiency Flag</t>
        </is>
      </c>
      <c r="B13" s="11">
        <f>IF(B11&gt;0.7,"CRITICAL: Ordering too often. INCREASE BATCH SIZE.",IF(B11&lt;0.3,"CRITICAL: Holding too much. DECREASE BATCH SIZE/JIT.","OK: Balanced"))</f>
        <v/>
      </c>
    </row>
    <row r="16">
      <c r="A16" s="3" t="inlineStr">
        <is>
          <t>STRATEGIC ADVICE</t>
        </is>
      </c>
    </row>
    <row r="17" ht="80" customHeight="1">
      <c r="A17" s="12" t="inlineStr">
        <is>
          <t>Based on your Ordering Cost Ratio:
• &gt; 70%: You're placing too many small orders. Consolidate orders into larger batches.
• &lt; 30%: You're holding too much inventory. Consider Just-In-Time ordering or smaller batches.
• 30-70%: Good balance between ordering frequency and inventory holding.</t>
        </is>
      </c>
    </row>
    <row r="18"/>
    <row r="19"/>
    <row r="20"/>
    <row r="22">
      <c r="A22" s="3" t="inlineStr">
        <is>
          <t>MATERIAL COST ANALYZER</t>
        </is>
      </c>
    </row>
    <row r="23">
      <c r="A23" s="13" t="inlineStr">
        <is>
          <t>Item</t>
        </is>
      </c>
      <c r="B23" s="13" t="inlineStr">
        <is>
          <t>Avg Supplier Cost</t>
        </is>
      </c>
      <c r="C23" s="13" t="inlineStr">
        <is>
          <t>BOM Target</t>
        </is>
      </c>
      <c r="D23" s="13" t="inlineStr">
        <is>
          <t>Variance %</t>
        </is>
      </c>
      <c r="E23" s="13" t="inlineStr">
        <is>
          <t>Status</t>
        </is>
      </c>
    </row>
    <row r="24">
      <c r="A24" s="5" t="inlineStr">
        <is>
          <t>Part A</t>
        </is>
      </c>
      <c r="B24" s="14">
        <f>AVERAGE(SUPPLIER_CONFIG!D6:D8)</f>
        <v/>
      </c>
      <c r="C24" s="14" t="n">
        <v>15</v>
      </c>
      <c r="D24" s="15">
        <f>IF(C24&gt;0, (B24-C24)/C24, 0)</f>
        <v/>
      </c>
      <c r="E24" s="11">
        <f>IF(B24&gt;C24, "OVER BUDGET", "OK")</f>
        <v/>
      </c>
    </row>
    <row r="25">
      <c r="A25" s="5" t="inlineStr">
        <is>
          <t>Part B</t>
        </is>
      </c>
      <c r="B25" s="14">
        <f>AVERAGE(SUPPLIER_CONFIG!D9:D11)</f>
        <v/>
      </c>
      <c r="C25" s="14" t="n">
        <v>25</v>
      </c>
      <c r="D25" s="15">
        <f>IF(C25&gt;0, (B25-C25)/C25, 0)</f>
        <v/>
      </c>
      <c r="E25" s="11">
        <f>IF(B25&gt;C25, "OVER BUDGET", "OK")</f>
        <v/>
      </c>
    </row>
  </sheetData>
  <mergeCells count="1">
    <mergeCell ref="A17:D20"/>
  </mergeCells>
  <conditionalFormatting sqref="B11">
    <cfRule type="dataBar" priority="1">
      <dataBar>
        <cfvo type="min"/>
        <cfvo type="max"/>
        <color rgb="00638EC6"/>
      </dataBar>
    </cfRule>
  </conditionalFormatting>
  <conditionalFormatting sqref="B24:B25">
    <cfRule type="expression" priority="2" dxfId="0">
      <formula>B24&gt;C24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MRP ENGINE - Material Requirements Planning</t>
        </is>
      </c>
    </row>
    <row r="3">
      <c r="A3" s="3" t="inlineStr">
        <is>
          <t>SECTION A: PRODUCTION DEMAND (Input from Production Manager)</t>
        </is>
      </c>
    </row>
    <row r="5">
      <c r="A5" s="13" t="inlineStr">
        <is>
          <t>Metric</t>
        </is>
      </c>
      <c r="B5" s="16" t="inlineStr">
        <is>
          <t>FN1</t>
        </is>
      </c>
      <c r="C5" s="16" t="inlineStr">
        <is>
          <t>FN2</t>
        </is>
      </c>
      <c r="D5" s="16" t="inlineStr">
        <is>
          <t>FN3</t>
        </is>
      </c>
      <c r="E5" s="16" t="inlineStr">
        <is>
          <t>FN4</t>
        </is>
      </c>
      <c r="F5" s="16" t="inlineStr">
        <is>
          <t>FN5</t>
        </is>
      </c>
      <c r="G5" s="16" t="inlineStr">
        <is>
          <t>FN6</t>
        </is>
      </c>
      <c r="H5" s="16" t="inlineStr">
        <is>
          <t>FN7</t>
        </is>
      </c>
      <c r="I5" s="16" t="inlineStr">
        <is>
          <t>FN8</t>
        </is>
      </c>
    </row>
    <row r="6">
      <c r="A6" s="5" t="inlineStr">
        <is>
          <t>Target Production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</row>
    <row r="9">
      <c r="A9" s="3" t="inlineStr">
        <is>
          <t>SECTION B: NET REQUIREMENTS CALCULATION</t>
        </is>
      </c>
    </row>
    <row r="11">
      <c r="A11" s="17" t="inlineStr">
        <is>
          <t>PART A</t>
        </is>
      </c>
    </row>
    <row r="12">
      <c r="A12" s="5" t="inlineStr">
        <is>
          <t>Gross Requirement</t>
        </is>
      </c>
      <c r="B12" s="18">
        <f>$B$6</f>
        <v/>
      </c>
      <c r="C12" s="18">
        <f>$B$6</f>
        <v/>
      </c>
      <c r="D12" s="18">
        <f>$B$6</f>
        <v/>
      </c>
      <c r="E12" s="18">
        <f>$B$6</f>
        <v/>
      </c>
      <c r="F12" s="18">
        <f>$B$6</f>
        <v/>
      </c>
      <c r="G12" s="18">
        <f>$B$6</f>
        <v/>
      </c>
      <c r="H12" s="18">
        <f>$B$6</f>
        <v/>
      </c>
      <c r="I12" s="18">
        <f>$B$6</f>
        <v/>
      </c>
    </row>
    <row r="13">
      <c r="A13" s="5" t="inlineStr">
        <is>
          <t>Scheduled Arrivals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  <row r="14">
      <c r="A14" s="5" t="inlineStr">
        <is>
          <t>Projected Inventory</t>
        </is>
      </c>
      <c r="B14" s="19">
        <f>0.0+B13-B12</f>
        <v/>
      </c>
      <c r="C14" s="19">
        <f>B14+C13-C12</f>
        <v/>
      </c>
      <c r="D14" s="19">
        <f>C14+D13-D12</f>
        <v/>
      </c>
      <c r="E14" s="19">
        <f>D14+E13-E12</f>
        <v/>
      </c>
      <c r="F14" s="19">
        <f>E14+F13-F12</f>
        <v/>
      </c>
      <c r="G14" s="19">
        <f>F14+G13-G12</f>
        <v/>
      </c>
      <c r="H14" s="19">
        <f>G14+H13-H12</f>
        <v/>
      </c>
      <c r="I14" s="19">
        <f>H14+I13-I12</f>
        <v/>
      </c>
    </row>
    <row r="15">
      <c r="A15" s="5" t="inlineStr">
        <is>
          <t>Net Deficit (if negative)</t>
        </is>
      </c>
      <c r="B15" s="20">
        <f>IF(B14&lt;0, -B14, 0)</f>
        <v/>
      </c>
      <c r="C15" s="20">
        <f>IF(C14&lt;0, -C14, 0)</f>
        <v/>
      </c>
      <c r="D15" s="20">
        <f>IF(D14&lt;0, -D14, 0)</f>
        <v/>
      </c>
      <c r="E15" s="20">
        <f>IF(E14&lt;0, -E14, 0)</f>
        <v/>
      </c>
      <c r="F15" s="20">
        <f>IF(F14&lt;0, -F14, 0)</f>
        <v/>
      </c>
      <c r="G15" s="20">
        <f>IF(G14&lt;0, -G14, 0)</f>
        <v/>
      </c>
      <c r="H15" s="20">
        <f>IF(H14&lt;0, -H14, 0)</f>
        <v/>
      </c>
      <c r="I15" s="20">
        <f>IF(I14&lt;0, -I14, 0)</f>
        <v/>
      </c>
    </row>
    <row r="17">
      <c r="A17" s="21" t="inlineStr">
        <is>
          <t>ORDERS FOR PART A</t>
        </is>
      </c>
    </row>
    <row r="18">
      <c r="A18" s="5" t="inlineStr">
        <is>
          <t>Order Supplier A (Lead:0, Batch:0)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</row>
    <row r="19">
      <c r="A19" s="5" t="inlineStr">
        <is>
          <t>Order Supplier B (Lead:0, Batch:0)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</row>
    <row r="20">
      <c r="A20" s="5" t="inlineStr">
        <is>
          <t>Order Supplier C (Lead:0, Batch:0)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</row>
    <row r="23">
      <c r="A23" s="17" t="inlineStr">
        <is>
          <t>PART B</t>
        </is>
      </c>
    </row>
    <row r="24">
      <c r="A24" s="5" t="inlineStr">
        <is>
          <t>Gross Requirement</t>
        </is>
      </c>
      <c r="B24" s="18">
        <f>$B$6</f>
        <v/>
      </c>
      <c r="C24" s="18">
        <f>$B$6</f>
        <v/>
      </c>
      <c r="D24" s="18">
        <f>$B$6</f>
        <v/>
      </c>
      <c r="E24" s="18">
        <f>$B$6</f>
        <v/>
      </c>
      <c r="F24" s="18">
        <f>$B$6</f>
        <v/>
      </c>
      <c r="G24" s="18">
        <f>$B$6</f>
        <v/>
      </c>
      <c r="H24" s="18">
        <f>$B$6</f>
        <v/>
      </c>
      <c r="I24" s="18">
        <f>$B$6</f>
        <v/>
      </c>
    </row>
    <row r="25">
      <c r="A25" s="5" t="inlineStr">
        <is>
          <t>Scheduled Arrivals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</row>
    <row r="26">
      <c r="A26" s="5" t="inlineStr">
        <is>
          <t>Projected Inventory</t>
        </is>
      </c>
      <c r="B26" s="19">
        <f>0.0+B25-B24</f>
        <v/>
      </c>
      <c r="C26" s="19">
        <f>B26+C25-C24</f>
        <v/>
      </c>
      <c r="D26" s="19">
        <f>C26+D25-D24</f>
        <v/>
      </c>
      <c r="E26" s="19">
        <f>D26+E25-E24</f>
        <v/>
      </c>
      <c r="F26" s="19">
        <f>E26+F25-F24</f>
        <v/>
      </c>
      <c r="G26" s="19">
        <f>F26+G25-G24</f>
        <v/>
      </c>
      <c r="H26" s="19">
        <f>G26+H25-H24</f>
        <v/>
      </c>
      <c r="I26" s="19">
        <f>H26+I25-I24</f>
        <v/>
      </c>
    </row>
    <row r="27">
      <c r="A27" s="5" t="inlineStr">
        <is>
          <t>Net Deficit (if negative)</t>
        </is>
      </c>
      <c r="B27" s="20">
        <f>IF(B26&lt;0, -B26, 0)</f>
        <v/>
      </c>
      <c r="C27" s="20">
        <f>IF(C26&lt;0, -C26, 0)</f>
        <v/>
      </c>
      <c r="D27" s="20">
        <f>IF(D26&lt;0, -D26, 0)</f>
        <v/>
      </c>
      <c r="E27" s="20">
        <f>IF(E26&lt;0, -E26, 0)</f>
        <v/>
      </c>
      <c r="F27" s="20">
        <f>IF(F26&lt;0, -F26, 0)</f>
        <v/>
      </c>
      <c r="G27" s="20">
        <f>IF(G26&lt;0, -G26, 0)</f>
        <v/>
      </c>
      <c r="H27" s="20">
        <f>IF(H26&lt;0, -H26, 0)</f>
        <v/>
      </c>
      <c r="I27" s="20">
        <f>IF(I26&lt;0, -I26, 0)</f>
        <v/>
      </c>
    </row>
    <row r="29">
      <c r="A29" s="21" t="inlineStr">
        <is>
          <t>ORDERS FOR PART B</t>
        </is>
      </c>
    </row>
    <row r="30">
      <c r="A30" s="5" t="inlineStr">
        <is>
          <t>Order Supplier A (Lead:0, Batch:0)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</row>
    <row r="31">
      <c r="A31" s="5" t="inlineStr">
        <is>
          <t>Order Supplier B (Lead:0, Batch:0)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</row>
    <row r="32">
      <c r="A32" s="5" t="inlineStr">
        <is>
          <t>Order Supplier C (Lead:0, Batch:0)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</row>
    <row r="40" hidden="1">
      <c r="A40" t="inlineStr">
        <is>
          <t>Stockout Limit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</sheetData>
  <conditionalFormatting sqref="B14:I14">
    <cfRule type="expression" priority="1" dxfId="1">
      <formula>B14&lt;0</formula>
    </cfRule>
  </conditionalFormatting>
  <conditionalFormatting sqref="B26:I26">
    <cfRule type="expression" priority="2" dxfId="1">
      <formula>B26&lt;0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CASH FLOW PREVIEW - Procurement Spending</t>
        </is>
      </c>
    </row>
    <row r="3">
      <c r="A3" s="3" t="inlineStr">
        <is>
          <t>ESTIMATED OUTFLOW BY SUPPLIER</t>
        </is>
      </c>
    </row>
    <row r="5">
      <c r="A5" s="13" t="inlineStr">
        <is>
          <t>Supplier</t>
        </is>
      </c>
      <c r="B5" s="13" t="inlineStr">
        <is>
          <t>FN1</t>
        </is>
      </c>
      <c r="C5" s="13" t="inlineStr">
        <is>
          <t>FN2</t>
        </is>
      </c>
      <c r="D5" s="13" t="inlineStr">
        <is>
          <t>FN3</t>
        </is>
      </c>
      <c r="E5" s="13" t="inlineStr">
        <is>
          <t>FN4</t>
        </is>
      </c>
      <c r="F5" s="13" t="inlineStr">
        <is>
          <t>FN5</t>
        </is>
      </c>
      <c r="G5" s="13" t="inlineStr">
        <is>
          <t>FN6</t>
        </is>
      </c>
      <c r="H5" s="13" t="inlineStr">
        <is>
          <t>FN7</t>
        </is>
      </c>
      <c r="I5" s="13" t="inlineStr">
        <is>
          <t>FN8</t>
        </is>
      </c>
      <c r="J5" s="13" t="inlineStr">
        <is>
          <t>Total</t>
        </is>
      </c>
    </row>
    <row r="6">
      <c r="A6" s="5" t="inlineStr">
        <is>
          <t>Supplier A</t>
        </is>
      </c>
      <c r="B6" s="9">
        <f>MRP_ENGINE!B18+MRP_ENGINE!B30</f>
        <v/>
      </c>
      <c r="C6" s="9">
        <f>MRP_ENGINE!C18+MRP_ENGINE!C30</f>
        <v/>
      </c>
      <c r="D6" s="9">
        <f>MRP_ENGINE!D18+MRP_ENGINE!D30</f>
        <v/>
      </c>
      <c r="E6" s="9">
        <f>MRP_ENGINE!E18+MRP_ENGINE!E30</f>
        <v/>
      </c>
      <c r="F6" s="9">
        <f>MRP_ENGINE!F18+MRP_ENGINE!F30</f>
        <v/>
      </c>
      <c r="G6" s="9">
        <f>MRP_ENGINE!G18+MRP_ENGINE!G30</f>
        <v/>
      </c>
      <c r="H6" s="9">
        <f>MRP_ENGINE!H18+MRP_ENGINE!H30</f>
        <v/>
      </c>
      <c r="I6" s="9">
        <f>MRP_ENGINE!I18+MRP_ENGINE!I30</f>
        <v/>
      </c>
      <c r="J6" s="9">
        <f>SUM(B6:I6)</f>
        <v/>
      </c>
    </row>
    <row r="7">
      <c r="A7" s="5" t="inlineStr">
        <is>
          <t>Supplier B</t>
        </is>
      </c>
      <c r="B7" s="9">
        <f>MRP_ENGINE!B19+MRP_ENGINE!B31</f>
        <v/>
      </c>
      <c r="C7" s="9">
        <f>MRP_ENGINE!C19+MRP_ENGINE!C31</f>
        <v/>
      </c>
      <c r="D7" s="9">
        <f>MRP_ENGINE!D19+MRP_ENGINE!D31</f>
        <v/>
      </c>
      <c r="E7" s="9">
        <f>MRP_ENGINE!E19+MRP_ENGINE!E31</f>
        <v/>
      </c>
      <c r="F7" s="9">
        <f>MRP_ENGINE!F19+MRP_ENGINE!F31</f>
        <v/>
      </c>
      <c r="G7" s="9">
        <f>MRP_ENGINE!G19+MRP_ENGINE!G31</f>
        <v/>
      </c>
      <c r="H7" s="9">
        <f>MRP_ENGINE!H19+MRP_ENGINE!H31</f>
        <v/>
      </c>
      <c r="I7" s="9">
        <f>MRP_ENGINE!I19+MRP_ENGINE!I31</f>
        <v/>
      </c>
      <c r="J7" s="9">
        <f>SUM(B7:I7)</f>
        <v/>
      </c>
    </row>
    <row r="8">
      <c r="A8" s="5" t="inlineStr">
        <is>
          <t>Supplier C</t>
        </is>
      </c>
      <c r="B8" s="9">
        <f>MRP_ENGINE!B20+MRP_ENGINE!B32</f>
        <v/>
      </c>
      <c r="C8" s="9">
        <f>MRP_ENGINE!C20+MRP_ENGINE!C32</f>
        <v/>
      </c>
      <c r="D8" s="9">
        <f>MRP_ENGINE!D20+MRP_ENGINE!D32</f>
        <v/>
      </c>
      <c r="E8" s="9">
        <f>MRP_ENGINE!E20+MRP_ENGINE!E32</f>
        <v/>
      </c>
      <c r="F8" s="9">
        <f>MRP_ENGINE!F20+MRP_ENGINE!F32</f>
        <v/>
      </c>
      <c r="G8" s="9">
        <f>MRP_ENGINE!G20+MRP_ENGINE!G32</f>
        <v/>
      </c>
      <c r="H8" s="9">
        <f>MRP_ENGINE!H20+MRP_ENGINE!H32</f>
        <v/>
      </c>
      <c r="I8" s="9">
        <f>MRP_ENGINE!I20+MRP_ENGINE!I32</f>
        <v/>
      </c>
      <c r="J8" s="9">
        <f>SUM(B8:I8)</f>
        <v/>
      </c>
    </row>
    <row r="9">
      <c r="A9" s="21" t="inlineStr">
        <is>
          <t>TOTAL SPEND</t>
        </is>
      </c>
      <c r="B9" s="22">
        <f>SUM(B6:B8)</f>
        <v/>
      </c>
      <c r="C9" s="22">
        <f>SUM(C6:C8)</f>
        <v/>
      </c>
      <c r="D9" s="22">
        <f>SUM(D6:D8)</f>
        <v/>
      </c>
      <c r="E9" s="22">
        <f>SUM(E6:E8)</f>
        <v/>
      </c>
      <c r="F9" s="22">
        <f>SUM(F6:F8)</f>
        <v/>
      </c>
      <c r="G9" s="22">
        <f>SUM(G6:G8)</f>
        <v/>
      </c>
      <c r="H9" s="22">
        <f>SUM(H6:H8)</f>
        <v/>
      </c>
      <c r="I9" s="22">
        <f>SUM(I6:I8)</f>
        <v/>
      </c>
      <c r="J9" s="23">
        <f>SUM(B9:I9)</f>
        <v/>
      </c>
    </row>
    <row r="29">
      <c r="A29" s="3" t="inlineStr">
        <is>
          <t>BUDGET TRACKING</t>
        </is>
      </c>
    </row>
    <row r="30">
      <c r="A30" s="5" t="inlineStr">
        <is>
          <t>Total Budget</t>
        </is>
      </c>
      <c r="B30" s="24" t="n">
        <v>100000</v>
      </c>
    </row>
    <row r="31">
      <c r="A31" s="5" t="inlineStr">
        <is>
          <t>Total Projected Spend</t>
        </is>
      </c>
      <c r="B31" s="9">
        <f>J9</f>
        <v/>
      </c>
    </row>
    <row r="32">
      <c r="A32" s="5" t="inlineStr">
        <is>
          <t>Remaining Budget</t>
        </is>
      </c>
      <c r="B32" s="22">
        <f>B30-B31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8" max="18"/>
    <col width="10" customWidth="1" min="19" max="19"/>
    <col width="10" customWidth="1" min="20" max="20"/>
    <col width="8" customWidth="1" min="21" max="21"/>
  </cols>
  <sheetData>
    <row r="1">
      <c r="A1" s="1" t="inlineStr">
        <is>
          <t>PROCUREMENT DECISIONS - ExSim Upload Format (Side-by-Side)</t>
        </is>
      </c>
    </row>
    <row r="2">
      <c r="A2" s="2" t="inlineStr">
        <is>
          <t>This matches the exact ExSim Procurement upload layout</t>
        </is>
      </c>
    </row>
    <row r="4">
      <c r="A4" s="3" t="inlineStr">
        <is>
          <t>Parts</t>
        </is>
      </c>
      <c r="R4" s="3" t="inlineStr">
        <is>
          <t>Pieces</t>
        </is>
      </c>
    </row>
    <row r="5">
      <c r="A5" s="4" t="inlineStr">
        <is>
          <t>Zone</t>
        </is>
      </c>
      <c r="B5" s="4" t="inlineStr">
        <is>
          <t>Supplier</t>
        </is>
      </c>
      <c r="C5" s="4" t="inlineStr">
        <is>
          <t>Component</t>
        </is>
      </c>
      <c r="D5" s="4" t="inlineStr">
        <is>
          <t>1</t>
        </is>
      </c>
      <c r="E5" s="4" t="inlineStr">
        <is>
          <t>2</t>
        </is>
      </c>
      <c r="F5" s="4" t="inlineStr">
        <is>
          <t>3</t>
        </is>
      </c>
      <c r="G5" s="4" t="inlineStr">
        <is>
          <t>4</t>
        </is>
      </c>
      <c r="H5" s="4" t="inlineStr">
        <is>
          <t>5</t>
        </is>
      </c>
      <c r="I5" s="4" t="inlineStr">
        <is>
          <t>6</t>
        </is>
      </c>
      <c r="J5" s="4" t="inlineStr">
        <is>
          <t>7</t>
        </is>
      </c>
      <c r="K5" s="4" t="inlineStr">
        <is>
          <t>8</t>
        </is>
      </c>
      <c r="R5" s="4" t="inlineStr">
        <is>
          <t>Zone</t>
        </is>
      </c>
      <c r="S5" s="4" t="inlineStr">
        <is>
          <t>Supplier</t>
        </is>
      </c>
      <c r="T5" s="4" t="inlineStr">
        <is>
          <t>Component</t>
        </is>
      </c>
      <c r="U5" s="4" t="inlineStr">
        <is>
          <t>Order</t>
        </is>
      </c>
    </row>
    <row r="6">
      <c r="A6" s="5" t="inlineStr">
        <is>
          <t>Center</t>
        </is>
      </c>
      <c r="B6" s="5" t="inlineStr">
        <is>
          <t>Supplier A</t>
        </is>
      </c>
      <c r="C6" s="5" t="inlineStr">
        <is>
          <t>Part A</t>
        </is>
      </c>
      <c r="D6" s="6">
        <f>MRP_ENGINE!B18</f>
        <v/>
      </c>
      <c r="E6" s="6">
        <f>MRP_ENGINE!C18</f>
        <v/>
      </c>
      <c r="F6" s="6">
        <f>MRP_ENGINE!D18</f>
        <v/>
      </c>
      <c r="G6" s="6">
        <f>MRP_ENGINE!E18</f>
        <v/>
      </c>
      <c r="H6" s="6">
        <f>MRP_ENGINE!F18</f>
        <v/>
      </c>
      <c r="I6" s="6">
        <f>MRP_ENGINE!G18</f>
        <v/>
      </c>
      <c r="J6" s="6">
        <f>MRP_ENGINE!H18</f>
        <v/>
      </c>
      <c r="K6" s="6">
        <f>MRP_ENGINE!I18</f>
        <v/>
      </c>
      <c r="R6" s="5" t="inlineStr">
        <is>
          <t>Center</t>
        </is>
      </c>
      <c r="S6" s="5" t="inlineStr">
        <is>
          <t>Pieces</t>
        </is>
      </c>
      <c r="T6" s="5" t="inlineStr">
        <is>
          <t>Piece 1</t>
        </is>
      </c>
      <c r="U6" s="6" t="n">
        <v>0</v>
      </c>
    </row>
    <row r="7">
      <c r="A7" s="5" t="inlineStr">
        <is>
          <t>Center</t>
        </is>
      </c>
      <c r="B7" s="5" t="inlineStr">
        <is>
          <t>Supplier A</t>
        </is>
      </c>
      <c r="C7" s="5" t="inlineStr">
        <is>
          <t>Part B</t>
        </is>
      </c>
      <c r="D7" s="6">
        <f>MRP_ENGINE!B30</f>
        <v/>
      </c>
      <c r="E7" s="6">
        <f>MRP_ENGINE!C30</f>
        <v/>
      </c>
      <c r="F7" s="6">
        <f>MRP_ENGINE!D30</f>
        <v/>
      </c>
      <c r="G7" s="6">
        <f>MRP_ENGINE!E30</f>
        <v/>
      </c>
      <c r="H7" s="6">
        <f>MRP_ENGINE!F30</f>
        <v/>
      </c>
      <c r="I7" s="6">
        <f>MRP_ENGINE!G30</f>
        <v/>
      </c>
      <c r="J7" s="6">
        <f>MRP_ENGINE!H30</f>
        <v/>
      </c>
      <c r="K7" s="6">
        <f>MRP_ENGINE!I30</f>
        <v/>
      </c>
      <c r="R7" s="5" t="inlineStr">
        <is>
          <t>Center</t>
        </is>
      </c>
      <c r="S7" s="5" t="inlineStr">
        <is>
          <t>Pieces</t>
        </is>
      </c>
      <c r="T7" s="5" t="inlineStr">
        <is>
          <t>Piece 2</t>
        </is>
      </c>
      <c r="U7" s="6" t="n">
        <v>0</v>
      </c>
    </row>
    <row r="8">
      <c r="A8" s="5" t="inlineStr">
        <is>
          <t>Center</t>
        </is>
      </c>
      <c r="B8" s="5" t="inlineStr">
        <is>
          <t>Supplier B</t>
        </is>
      </c>
      <c r="C8" s="5" t="inlineStr">
        <is>
          <t>Part A</t>
        </is>
      </c>
      <c r="D8" s="6">
        <f>MRP_ENGINE!B19</f>
        <v/>
      </c>
      <c r="E8" s="6">
        <f>MRP_ENGINE!C19</f>
        <v/>
      </c>
      <c r="F8" s="6">
        <f>MRP_ENGINE!D19</f>
        <v/>
      </c>
      <c r="G8" s="6">
        <f>MRP_ENGINE!E19</f>
        <v/>
      </c>
      <c r="H8" s="6">
        <f>MRP_ENGINE!F19</f>
        <v/>
      </c>
      <c r="I8" s="6">
        <f>MRP_ENGINE!G19</f>
        <v/>
      </c>
      <c r="J8" s="6">
        <f>MRP_ENGINE!H19</f>
        <v/>
      </c>
      <c r="K8" s="6">
        <f>MRP_ENGINE!I19</f>
        <v/>
      </c>
      <c r="R8" s="5" t="inlineStr">
        <is>
          <t>Center</t>
        </is>
      </c>
      <c r="S8" s="5" t="inlineStr">
        <is>
          <t>Pieces</t>
        </is>
      </c>
      <c r="T8" s="5" t="inlineStr">
        <is>
          <t>Piece 3</t>
        </is>
      </c>
      <c r="U8" s="6" t="n">
        <v>0</v>
      </c>
    </row>
    <row r="9">
      <c r="A9" s="5" t="inlineStr">
        <is>
          <t>Center</t>
        </is>
      </c>
      <c r="B9" s="5" t="inlineStr">
        <is>
          <t>Supplier B</t>
        </is>
      </c>
      <c r="C9" s="5" t="inlineStr">
        <is>
          <t>Part B</t>
        </is>
      </c>
      <c r="D9" s="6">
        <f>MRP_ENGINE!B31</f>
        <v/>
      </c>
      <c r="E9" s="6">
        <f>MRP_ENGINE!C31</f>
        <v/>
      </c>
      <c r="F9" s="6">
        <f>MRP_ENGINE!D31</f>
        <v/>
      </c>
      <c r="G9" s="6">
        <f>MRP_ENGINE!E31</f>
        <v/>
      </c>
      <c r="H9" s="6">
        <f>MRP_ENGINE!F31</f>
        <v/>
      </c>
      <c r="I9" s="6">
        <f>MRP_ENGINE!G31</f>
        <v/>
      </c>
      <c r="J9" s="6">
        <f>MRP_ENGINE!H31</f>
        <v/>
      </c>
      <c r="K9" s="6">
        <f>MRP_ENGINE!I31</f>
        <v/>
      </c>
      <c r="R9" s="5" t="inlineStr">
        <is>
          <t>Center</t>
        </is>
      </c>
      <c r="S9" s="5" t="inlineStr">
        <is>
          <t>Pieces</t>
        </is>
      </c>
      <c r="T9" s="5" t="inlineStr">
        <is>
          <t>Piece 4</t>
        </is>
      </c>
      <c r="U9" s="6" t="n">
        <v>0</v>
      </c>
    </row>
    <row r="10">
      <c r="A10" s="5" t="inlineStr">
        <is>
          <t>Center</t>
        </is>
      </c>
      <c r="B10" s="5" t="inlineStr">
        <is>
          <t>Supplier C</t>
        </is>
      </c>
      <c r="C10" s="5" t="inlineStr">
        <is>
          <t>Part A</t>
        </is>
      </c>
      <c r="D10" s="6">
        <f>MRP_ENGINE!B20</f>
        <v/>
      </c>
      <c r="E10" s="6">
        <f>MRP_ENGINE!C20</f>
        <v/>
      </c>
      <c r="F10" s="6">
        <f>MRP_ENGINE!D20</f>
        <v/>
      </c>
      <c r="G10" s="6">
        <f>MRP_ENGINE!E20</f>
        <v/>
      </c>
      <c r="H10" s="6">
        <f>MRP_ENGINE!F20</f>
        <v/>
      </c>
      <c r="I10" s="6">
        <f>MRP_ENGINE!G20</f>
        <v/>
      </c>
      <c r="J10" s="6">
        <f>MRP_ENGINE!H20</f>
        <v/>
      </c>
      <c r="K10" s="6">
        <f>MRP_ENGINE!I20</f>
        <v/>
      </c>
      <c r="R10" s="5" t="inlineStr">
        <is>
          <t>Center</t>
        </is>
      </c>
      <c r="S10" s="5" t="inlineStr">
        <is>
          <t>Pieces</t>
        </is>
      </c>
      <c r="T10" s="5" t="inlineStr">
        <is>
          <t>Piece 5</t>
        </is>
      </c>
      <c r="U10" s="6" t="n">
        <v>0</v>
      </c>
    </row>
    <row r="11">
      <c r="A11" s="5" t="inlineStr">
        <is>
          <t>Center</t>
        </is>
      </c>
      <c r="B11" s="5" t="inlineStr">
        <is>
          <t>Supplier C</t>
        </is>
      </c>
      <c r="C11" s="5" t="inlineStr">
        <is>
          <t>Part B</t>
        </is>
      </c>
      <c r="D11" s="6">
        <f>MRP_ENGINE!B32</f>
        <v/>
      </c>
      <c r="E11" s="6">
        <f>MRP_ENGINE!C32</f>
        <v/>
      </c>
      <c r="F11" s="6">
        <f>MRP_ENGINE!D32</f>
        <v/>
      </c>
      <c r="G11" s="6">
        <f>MRP_ENGINE!E32</f>
        <v/>
      </c>
      <c r="H11" s="6">
        <f>MRP_ENGINE!F32</f>
        <v/>
      </c>
      <c r="I11" s="6">
        <f>MRP_ENGINE!G32</f>
        <v/>
      </c>
      <c r="J11" s="6">
        <f>MRP_ENGINE!H32</f>
        <v/>
      </c>
      <c r="K11" s="6">
        <f>MRP_ENGINE!I32</f>
        <v/>
      </c>
      <c r="R11" s="5" t="inlineStr">
        <is>
          <t>Center</t>
        </is>
      </c>
      <c r="S11" s="5" t="inlineStr">
        <is>
          <t>Pieces</t>
        </is>
      </c>
      <c r="T11" s="5" t="inlineStr">
        <is>
          <t>Piece 6</t>
        </is>
      </c>
      <c r="U11" s="6" t="n">
        <v>0</v>
      </c>
    </row>
    <row r="12">
      <c r="A12" s="5" t="inlineStr">
        <is>
          <t>West</t>
        </is>
      </c>
      <c r="B12" s="5" t="inlineStr">
        <is>
          <t>Supplier A</t>
        </is>
      </c>
      <c r="C12" s="5" t="inlineStr">
        <is>
          <t>Part A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R12" s="5" t="inlineStr">
        <is>
          <t>West</t>
        </is>
      </c>
      <c r="S12" s="5" t="inlineStr">
        <is>
          <t>Pieces</t>
        </is>
      </c>
      <c r="T12" s="5" t="inlineStr">
        <is>
          <t>Piece 1</t>
        </is>
      </c>
      <c r="U12" s="6" t="n">
        <v>0</v>
      </c>
    </row>
    <row r="13">
      <c r="A13" s="5" t="inlineStr">
        <is>
          <t>West</t>
        </is>
      </c>
      <c r="B13" s="5" t="inlineStr">
        <is>
          <t>Supplier A</t>
        </is>
      </c>
      <c r="C13" s="5" t="inlineStr">
        <is>
          <t>Part B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R13" s="5" t="inlineStr">
        <is>
          <t>West</t>
        </is>
      </c>
      <c r="S13" s="5" t="inlineStr">
        <is>
          <t>Pieces</t>
        </is>
      </c>
      <c r="T13" s="5" t="inlineStr">
        <is>
          <t>Piece 2</t>
        </is>
      </c>
      <c r="U13" s="6" t="n">
        <v>0</v>
      </c>
    </row>
    <row r="14">
      <c r="A14" s="5" t="inlineStr">
        <is>
          <t>West</t>
        </is>
      </c>
      <c r="B14" s="5" t="inlineStr">
        <is>
          <t>Supplier B</t>
        </is>
      </c>
      <c r="C14" s="5" t="inlineStr">
        <is>
          <t>Part A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R14" s="5" t="inlineStr">
        <is>
          <t>West</t>
        </is>
      </c>
      <c r="S14" s="5" t="inlineStr">
        <is>
          <t>Pieces</t>
        </is>
      </c>
      <c r="T14" s="5" t="inlineStr">
        <is>
          <t>Piece 3</t>
        </is>
      </c>
      <c r="U14" s="6" t="n">
        <v>0</v>
      </c>
    </row>
    <row r="15">
      <c r="A15" s="5" t="inlineStr">
        <is>
          <t>West</t>
        </is>
      </c>
      <c r="B15" s="5" t="inlineStr">
        <is>
          <t>Supplier B</t>
        </is>
      </c>
      <c r="C15" s="5" t="inlineStr">
        <is>
          <t>Part B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R15" s="5" t="inlineStr">
        <is>
          <t>West</t>
        </is>
      </c>
      <c r="S15" s="5" t="inlineStr">
        <is>
          <t>Pieces</t>
        </is>
      </c>
      <c r="T15" s="5" t="inlineStr">
        <is>
          <t>Piece 4</t>
        </is>
      </c>
      <c r="U15" s="6" t="n">
        <v>0</v>
      </c>
    </row>
    <row r="16">
      <c r="A16" s="5" t="inlineStr">
        <is>
          <t>West</t>
        </is>
      </c>
      <c r="B16" s="5" t="inlineStr">
        <is>
          <t>Supplier C</t>
        </is>
      </c>
      <c r="C16" s="5" t="inlineStr">
        <is>
          <t>Part A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R16" s="5" t="inlineStr">
        <is>
          <t>West</t>
        </is>
      </c>
      <c r="S16" s="5" t="inlineStr">
        <is>
          <t>Pieces</t>
        </is>
      </c>
      <c r="T16" s="5" t="inlineStr">
        <is>
          <t>Piece 5</t>
        </is>
      </c>
      <c r="U16" s="6" t="n">
        <v>0</v>
      </c>
    </row>
    <row r="17">
      <c r="A17" s="5" t="inlineStr">
        <is>
          <t>West</t>
        </is>
      </c>
      <c r="B17" s="5" t="inlineStr">
        <is>
          <t>Supplier C</t>
        </is>
      </c>
      <c r="C17" s="5" t="inlineStr">
        <is>
          <t>Part B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R17" s="5" t="inlineStr">
        <is>
          <t>West</t>
        </is>
      </c>
      <c r="S17" s="5" t="inlineStr">
        <is>
          <t>Pieces</t>
        </is>
      </c>
      <c r="T17" s="5" t="inlineStr">
        <is>
          <t>Piece 6</t>
        </is>
      </c>
      <c r="U17" s="6" t="n">
        <v>0</v>
      </c>
    </row>
    <row r="18">
      <c r="A18" s="5" t="inlineStr">
        <is>
          <t>North</t>
        </is>
      </c>
      <c r="B18" s="5" t="inlineStr">
        <is>
          <t>Supplier A</t>
        </is>
      </c>
      <c r="C18" s="5" t="inlineStr">
        <is>
          <t>Part A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R18" s="5" t="inlineStr">
        <is>
          <t>North</t>
        </is>
      </c>
      <c r="S18" s="5" t="inlineStr">
        <is>
          <t>Pieces</t>
        </is>
      </c>
      <c r="T18" s="5" t="inlineStr">
        <is>
          <t>Piece 1</t>
        </is>
      </c>
      <c r="U18" s="6" t="n">
        <v>0</v>
      </c>
    </row>
    <row r="19">
      <c r="A19" s="5" t="inlineStr">
        <is>
          <t>North</t>
        </is>
      </c>
      <c r="B19" s="5" t="inlineStr">
        <is>
          <t>Supplier A</t>
        </is>
      </c>
      <c r="C19" s="5" t="inlineStr">
        <is>
          <t>Part B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R19" s="5" t="inlineStr">
        <is>
          <t>North</t>
        </is>
      </c>
      <c r="S19" s="5" t="inlineStr">
        <is>
          <t>Pieces</t>
        </is>
      </c>
      <c r="T19" s="5" t="inlineStr">
        <is>
          <t>Piece 2</t>
        </is>
      </c>
      <c r="U19" s="6" t="n">
        <v>0</v>
      </c>
    </row>
    <row r="20">
      <c r="A20" s="5" t="inlineStr">
        <is>
          <t>North</t>
        </is>
      </c>
      <c r="B20" s="5" t="inlineStr">
        <is>
          <t>Supplier B</t>
        </is>
      </c>
      <c r="C20" s="5" t="inlineStr">
        <is>
          <t>Part A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R20" s="5" t="inlineStr">
        <is>
          <t>North</t>
        </is>
      </c>
      <c r="S20" s="5" t="inlineStr">
        <is>
          <t>Pieces</t>
        </is>
      </c>
      <c r="T20" s="5" t="inlineStr">
        <is>
          <t>Piece 3</t>
        </is>
      </c>
      <c r="U20" s="6" t="n">
        <v>0</v>
      </c>
    </row>
    <row r="21">
      <c r="A21" s="5" t="inlineStr">
        <is>
          <t>North</t>
        </is>
      </c>
      <c r="B21" s="5" t="inlineStr">
        <is>
          <t>Supplier B</t>
        </is>
      </c>
      <c r="C21" s="5" t="inlineStr">
        <is>
          <t>Part B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R21" s="5" t="inlineStr">
        <is>
          <t>North</t>
        </is>
      </c>
      <c r="S21" s="5" t="inlineStr">
        <is>
          <t>Pieces</t>
        </is>
      </c>
      <c r="T21" s="5" t="inlineStr">
        <is>
          <t>Piece 4</t>
        </is>
      </c>
      <c r="U21" s="6" t="n">
        <v>0</v>
      </c>
    </row>
    <row r="22">
      <c r="A22" s="5" t="inlineStr">
        <is>
          <t>North</t>
        </is>
      </c>
      <c r="B22" s="5" t="inlineStr">
        <is>
          <t>Supplier C</t>
        </is>
      </c>
      <c r="C22" s="5" t="inlineStr">
        <is>
          <t>Part A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R22" s="5" t="inlineStr">
        <is>
          <t>North</t>
        </is>
      </c>
      <c r="S22" s="5" t="inlineStr">
        <is>
          <t>Pieces</t>
        </is>
      </c>
      <c r="T22" s="5" t="inlineStr">
        <is>
          <t>Piece 5</t>
        </is>
      </c>
      <c r="U22" s="6" t="n">
        <v>0</v>
      </c>
    </row>
    <row r="23">
      <c r="A23" s="5" t="inlineStr">
        <is>
          <t>North</t>
        </is>
      </c>
      <c r="B23" s="5" t="inlineStr">
        <is>
          <t>Supplier C</t>
        </is>
      </c>
      <c r="C23" s="5" t="inlineStr">
        <is>
          <t>Part B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R23" s="5" t="inlineStr">
        <is>
          <t>North</t>
        </is>
      </c>
      <c r="S23" s="5" t="inlineStr">
        <is>
          <t>Pieces</t>
        </is>
      </c>
      <c r="T23" s="5" t="inlineStr">
        <is>
          <t>Piece 6</t>
        </is>
      </c>
      <c r="U23" s="6" t="n">
        <v>0</v>
      </c>
    </row>
    <row r="24">
      <c r="A24" s="5" t="inlineStr">
        <is>
          <t>East</t>
        </is>
      </c>
      <c r="B24" s="5" t="inlineStr">
        <is>
          <t>Supplier A</t>
        </is>
      </c>
      <c r="C24" s="5" t="inlineStr">
        <is>
          <t>Part A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R24" s="5" t="inlineStr">
        <is>
          <t>East</t>
        </is>
      </c>
      <c r="S24" s="5" t="inlineStr">
        <is>
          <t>Pieces</t>
        </is>
      </c>
      <c r="T24" s="5" t="inlineStr">
        <is>
          <t>Piece 1</t>
        </is>
      </c>
      <c r="U24" s="6" t="n">
        <v>0</v>
      </c>
    </row>
    <row r="25">
      <c r="A25" s="5" t="inlineStr">
        <is>
          <t>East</t>
        </is>
      </c>
      <c r="B25" s="5" t="inlineStr">
        <is>
          <t>Supplier A</t>
        </is>
      </c>
      <c r="C25" s="5" t="inlineStr">
        <is>
          <t>Part B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R25" s="5" t="inlineStr">
        <is>
          <t>East</t>
        </is>
      </c>
      <c r="S25" s="5" t="inlineStr">
        <is>
          <t>Pieces</t>
        </is>
      </c>
      <c r="T25" s="5" t="inlineStr">
        <is>
          <t>Piece 2</t>
        </is>
      </c>
      <c r="U25" s="6" t="n">
        <v>0</v>
      </c>
    </row>
    <row r="26">
      <c r="A26" s="5" t="inlineStr">
        <is>
          <t>East</t>
        </is>
      </c>
      <c r="B26" s="5" t="inlineStr">
        <is>
          <t>Supplier B</t>
        </is>
      </c>
      <c r="C26" s="5" t="inlineStr">
        <is>
          <t>Part A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R26" s="5" t="inlineStr">
        <is>
          <t>East</t>
        </is>
      </c>
      <c r="S26" s="5" t="inlineStr">
        <is>
          <t>Pieces</t>
        </is>
      </c>
      <c r="T26" s="5" t="inlineStr">
        <is>
          <t>Piece 3</t>
        </is>
      </c>
      <c r="U26" s="6" t="n">
        <v>0</v>
      </c>
    </row>
    <row r="27">
      <c r="A27" s="5" t="inlineStr">
        <is>
          <t>East</t>
        </is>
      </c>
      <c r="B27" s="5" t="inlineStr">
        <is>
          <t>Supplier B</t>
        </is>
      </c>
      <c r="C27" s="5" t="inlineStr">
        <is>
          <t>Part B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R27" s="5" t="inlineStr">
        <is>
          <t>East</t>
        </is>
      </c>
      <c r="S27" s="5" t="inlineStr">
        <is>
          <t>Pieces</t>
        </is>
      </c>
      <c r="T27" s="5" t="inlineStr">
        <is>
          <t>Piece 4</t>
        </is>
      </c>
      <c r="U27" s="6" t="n">
        <v>0</v>
      </c>
    </row>
    <row r="28">
      <c r="A28" s="5" t="inlineStr">
        <is>
          <t>East</t>
        </is>
      </c>
      <c r="B28" s="5" t="inlineStr">
        <is>
          <t>Supplier C</t>
        </is>
      </c>
      <c r="C28" s="5" t="inlineStr">
        <is>
          <t>Part A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R28" s="5" t="inlineStr">
        <is>
          <t>East</t>
        </is>
      </c>
      <c r="S28" s="5" t="inlineStr">
        <is>
          <t>Pieces</t>
        </is>
      </c>
      <c r="T28" s="5" t="inlineStr">
        <is>
          <t>Piece 5</t>
        </is>
      </c>
      <c r="U28" s="6" t="n">
        <v>0</v>
      </c>
    </row>
    <row r="29">
      <c r="A29" s="5" t="inlineStr">
        <is>
          <t>East</t>
        </is>
      </c>
      <c r="B29" s="5" t="inlineStr">
        <is>
          <t>Supplier C</t>
        </is>
      </c>
      <c r="C29" s="5" t="inlineStr">
        <is>
          <t>Part B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R29" s="5" t="inlineStr">
        <is>
          <t>East</t>
        </is>
      </c>
      <c r="S29" s="5" t="inlineStr">
        <is>
          <t>Pieces</t>
        </is>
      </c>
      <c r="T29" s="5" t="inlineStr">
        <is>
          <t>Piece 6</t>
        </is>
      </c>
      <c r="U29" s="6" t="n">
        <v>0</v>
      </c>
    </row>
    <row r="30">
      <c r="A30" s="5" t="inlineStr">
        <is>
          <t>South</t>
        </is>
      </c>
      <c r="B30" s="5" t="inlineStr">
        <is>
          <t>Supplier A</t>
        </is>
      </c>
      <c r="C30" s="5" t="inlineStr">
        <is>
          <t>Part A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R30" s="5" t="inlineStr">
        <is>
          <t>South</t>
        </is>
      </c>
      <c r="S30" s="5" t="inlineStr">
        <is>
          <t>Pieces</t>
        </is>
      </c>
      <c r="T30" s="5" t="inlineStr">
        <is>
          <t>Piece 1</t>
        </is>
      </c>
      <c r="U30" s="6" t="n">
        <v>0</v>
      </c>
    </row>
    <row r="31">
      <c r="A31" s="5" t="inlineStr">
        <is>
          <t>South</t>
        </is>
      </c>
      <c r="B31" s="5" t="inlineStr">
        <is>
          <t>Supplier A</t>
        </is>
      </c>
      <c r="C31" s="5" t="inlineStr">
        <is>
          <t>Part B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R31" s="5" t="inlineStr">
        <is>
          <t>South</t>
        </is>
      </c>
      <c r="S31" s="5" t="inlineStr">
        <is>
          <t>Pieces</t>
        </is>
      </c>
      <c r="T31" s="5" t="inlineStr">
        <is>
          <t>Piece 2</t>
        </is>
      </c>
      <c r="U31" s="6" t="n">
        <v>0</v>
      </c>
    </row>
    <row r="32">
      <c r="A32" s="5" t="inlineStr">
        <is>
          <t>South</t>
        </is>
      </c>
      <c r="B32" s="5" t="inlineStr">
        <is>
          <t>Supplier B</t>
        </is>
      </c>
      <c r="C32" s="5" t="inlineStr">
        <is>
          <t>Part A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R32" s="5" t="inlineStr">
        <is>
          <t>South</t>
        </is>
      </c>
      <c r="S32" s="5" t="inlineStr">
        <is>
          <t>Pieces</t>
        </is>
      </c>
      <c r="T32" s="5" t="inlineStr">
        <is>
          <t>Piece 3</t>
        </is>
      </c>
      <c r="U32" s="6" t="n">
        <v>0</v>
      </c>
    </row>
    <row r="33">
      <c r="A33" s="5" t="inlineStr">
        <is>
          <t>South</t>
        </is>
      </c>
      <c r="B33" s="5" t="inlineStr">
        <is>
          <t>Supplier B</t>
        </is>
      </c>
      <c r="C33" s="5" t="inlineStr">
        <is>
          <t>Part B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R33" s="5" t="inlineStr">
        <is>
          <t>South</t>
        </is>
      </c>
      <c r="S33" s="5" t="inlineStr">
        <is>
          <t>Pieces</t>
        </is>
      </c>
      <c r="T33" s="5" t="inlineStr">
        <is>
          <t>Piece 4</t>
        </is>
      </c>
      <c r="U33" s="6" t="n">
        <v>0</v>
      </c>
    </row>
    <row r="34">
      <c r="A34" s="5" t="inlineStr">
        <is>
          <t>South</t>
        </is>
      </c>
      <c r="B34" s="5" t="inlineStr">
        <is>
          <t>Supplier C</t>
        </is>
      </c>
      <c r="C34" s="5" t="inlineStr">
        <is>
          <t>Part A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R34" s="5" t="inlineStr">
        <is>
          <t>South</t>
        </is>
      </c>
      <c r="S34" s="5" t="inlineStr">
        <is>
          <t>Pieces</t>
        </is>
      </c>
      <c r="T34" s="5" t="inlineStr">
        <is>
          <t>Piece 5</t>
        </is>
      </c>
      <c r="U34" s="6" t="n">
        <v>0</v>
      </c>
    </row>
    <row r="35">
      <c r="A35" s="5" t="inlineStr">
        <is>
          <t>South</t>
        </is>
      </c>
      <c r="B35" s="5" t="inlineStr">
        <is>
          <t>Supplier C</t>
        </is>
      </c>
      <c r="C35" s="5" t="inlineStr">
        <is>
          <t>Part B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R35" s="5" t="inlineStr">
        <is>
          <t>South</t>
        </is>
      </c>
      <c r="S35" s="5" t="inlineStr">
        <is>
          <t>Pieces</t>
        </is>
      </c>
      <c r="T35" s="5" t="inlineStr">
        <is>
          <t>Piece 6</t>
        </is>
      </c>
      <c r="U3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2026-01-04T16:48:54Z</dcterms:created>
  <dcterms:modified xsi:type="dcterms:W3CDTF">2026-01-04T16:48:54Z</dcterms:modified>
</cp:coreProperties>
</file>