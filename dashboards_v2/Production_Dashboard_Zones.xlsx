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CALCULATORS" sheetId="1" state="visible" r:id="rId1"/>
    <sheet name="RESOURCE MGR" sheetId="2" state="visible" r:id="rId2"/>
    <sheet name="UPLOAD READY PRODUCTION" sheetId="3" state="visible" r:id="rId3"/>
    <sheet name="CROS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b val="1"/>
      <color rgb="002F5496"/>
      <sz val="12"/>
    </font>
    <font>
      <color rgb="00FFFFFF"/>
    </font>
    <font>
      <sz val="9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2F5496"/>
        <bgColor rgb="002F549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2" fillId="0" borderId="1" pivotButton="0" quotePrefix="0" xfId="0"/>
    <xf numFmtId="0" fontId="5" fillId="6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3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3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3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 wrapText="1"/>
    </xf>
    <xf numFmtId="0" fontId="3" fillId="10" borderId="0" applyAlignment="1" pivotButton="0" quotePrefix="0" xfId="0">
      <alignment horizontal="center"/>
    </xf>
    <xf numFmtId="0" fontId="4" fillId="10" borderId="1" applyAlignment="1" pivotButton="0" quotePrefix="0" xfId="0">
      <alignment horizontal="center" wrapText="1"/>
    </xf>
    <xf numFmtId="0" fontId="6" fillId="0" borderId="0" pivotButton="0" quotePrefix="0" xfId="0"/>
    <xf numFmtId="0" fontId="4" fillId="11" borderId="1" pivotButton="0" quotePrefix="0" xfId="0"/>
    <xf numFmtId="0" fontId="7" fillId="2" borderId="1" pivotButton="0" quotePrefix="0" xfId="0"/>
    <xf numFmtId="0" fontId="0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8" fillId="6" borderId="1" pivotButton="0" quotePrefix="0" xfId="0"/>
    <xf numFmtId="0" fontId="4" fillId="2" borderId="0" pivotButton="0" quotePrefix="0" xfId="0"/>
    <xf numFmtId="3" fontId="0" fillId="3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4" fillId="12" borderId="0" pivotButton="0" quotePrefix="0" xfId="0"/>
    <xf numFmtId="3" fontId="0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Center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 CALCULATORS'!$A$11:$A$18</f>
            </numRef>
          </cat>
          <val>
            <numRef>
              <f>'ZONE CALCULATORS'!$D$11:$D$18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 CALCULATORS'!$A$11:$A$18</f>
            </numRef>
          </cat>
          <val>
            <numRef>
              <f>'ZONE CALCULATORS'!$E$11:$E$18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 CALCULATORS'!$B$11:$B$18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Center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 CALCULATORS'!$A$11:$A$18</f>
            </numRef>
          </cat>
          <val>
            <numRef>
              <f>'ZONE CALCULATORS'!$H$11:$H$18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 CALCULATORS'!$A$46:$A$53</f>
            </numRef>
          </cat>
          <val>
            <numRef>
              <f>'ZONE CALCULATORS'!$D$46:$D$53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 CALCULATORS'!$A$46:$A$53</f>
            </numRef>
          </cat>
          <val>
            <numRef>
              <f>'ZONE CALCULATORS'!$E$46:$E$53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 CALCULATORS'!$B$46:$B$53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 CALCULATORS'!$A$46:$A$53</f>
            </numRef>
          </cat>
          <val>
            <numRef>
              <f>'ZONE CALCULATORS'!$H$46:$H$53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North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 CALCULATORS'!$A$81:$A$88</f>
            </numRef>
          </cat>
          <val>
            <numRef>
              <f>'ZONE CALCULATORS'!$D$81:$D$88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 CALCULATORS'!$A$81:$A$88</f>
            </numRef>
          </cat>
          <val>
            <numRef>
              <f>'ZONE CALCULATORS'!$E$81:$E$88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 CALCULATORS'!$B$81:$B$88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North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 CALCULATORS'!$A$81:$A$88</f>
            </numRef>
          </cat>
          <val>
            <numRef>
              <f>'ZONE CALCULATORS'!$H$81:$H$88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 CALCULATORS'!$A$116:$A$123</f>
            </numRef>
          </cat>
          <val>
            <numRef>
              <f>'ZONE CALCULATORS'!$D$116:$D$123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 CALCULATORS'!$A$116:$A$123</f>
            </numRef>
          </cat>
          <val>
            <numRef>
              <f>'ZONE CALCULATORS'!$E$116:$E$123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 CALCULATORS'!$B$116:$B$123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East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 CALCULATORS'!$A$116:$A$123</f>
            </numRef>
          </cat>
          <val>
            <numRef>
              <f>'ZONE CALCULATORS'!$H$116:$H$123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 CALCULATORS'!$A$151:$A$158</f>
            </numRef>
          </cat>
          <val>
            <numRef>
              <f>'ZONE CALCULATORS'!$D$151:$D$158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 CALCULATORS'!$A$151:$A$158</f>
            </numRef>
          </cat>
          <val>
            <numRef>
              <f>'ZONE CALCULATORS'!$E$151:$E$158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 CALCULATORS'!$B$151:$B$158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South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 CALCULATORS'!$A$151:$A$158</f>
            </numRef>
          </cat>
          <val>
            <numRef>
              <f>'ZONE CALCULATORS'!$H$151:$H$158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59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73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94</row>
      <rowOff>0</rowOff>
    </from>
    <ext cx="54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540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129</row>
      <rowOff>0</rowOff>
    </from>
    <ext cx="540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143</row>
      <rowOff>0</rowOff>
    </from>
    <ext cx="540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164</row>
      <rowOff>0</rowOff>
    </from>
    <ext cx="540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ZONE-SPECIFIC PRODUCTION CALCULATORS</t>
        </is>
      </c>
    </row>
    <row r="2">
      <c r="A2" s="2" t="inlineStr">
        <is>
          <t>Each zone has its own resources. Resources in Center do NOT count towards West capacity.</t>
        </is>
      </c>
    </row>
    <row r="4">
      <c r="A4" s="3" t="inlineStr">
        <is>
          <t>═══ CENTER ZONE ═══</t>
        </is>
      </c>
    </row>
    <row r="5">
      <c r="A5" s="4" t="inlineStr">
        <is>
          <t>Machines in Zone</t>
        </is>
      </c>
      <c r="B5" s="5" t="n">
        <v>759578</v>
      </c>
    </row>
    <row r="6">
      <c r="A6" s="4" t="inlineStr">
        <is>
          <t>Material Stock (Part A)</t>
        </is>
      </c>
      <c r="B6" s="5" t="n">
        <v>3496</v>
      </c>
    </row>
    <row r="7">
      <c r="A7" s="4" t="inlineStr">
        <is>
          <t>Workers in Zone</t>
        </is>
      </c>
      <c r="B7" s="5" t="n">
        <v>219</v>
      </c>
    </row>
    <row r="8">
      <c r="A8" s="4" t="inlineStr">
        <is>
          <t>Nominal Rate/Machine</t>
        </is>
      </c>
      <c r="B8" s="5" t="n">
        <v>200</v>
      </c>
    </row>
    <row r="10">
      <c r="A10" s="6" t="inlineStr">
        <is>
          <t>Fortnight</t>
        </is>
      </c>
      <c r="B10" s="6" t="inlineStr">
        <is>
          <t>Target</t>
        </is>
      </c>
      <c r="C10" s="6" t="inlineStr">
        <is>
          <t>Overtime</t>
        </is>
      </c>
      <c r="D10" s="6" t="inlineStr">
        <is>
          <t>Local Capacity</t>
        </is>
      </c>
      <c r="E10" s="6" t="inlineStr">
        <is>
          <t>Max OT Pot.</t>
        </is>
      </c>
      <c r="F10" s="6" t="inlineStr">
        <is>
          <t>Material Cap</t>
        </is>
      </c>
      <c r="G10" s="6" t="inlineStr">
        <is>
          <t>REAL OUTPUT</t>
        </is>
      </c>
      <c r="H10" s="6" t="inlineStr">
        <is>
          <t>Est. Unit Cost</t>
        </is>
      </c>
      <c r="I10" s="6" t="inlineStr">
        <is>
          <t>Shipment?</t>
        </is>
      </c>
    </row>
    <row r="11">
      <c r="A11" s="4" t="inlineStr">
        <is>
          <t>FN1</t>
        </is>
      </c>
      <c r="B11" s="7" t="n">
        <v>500</v>
      </c>
      <c r="C11" s="8" t="inlineStr">
        <is>
          <t>N</t>
        </is>
      </c>
      <c r="D11" s="9">
        <f>$B$5*$B$8</f>
        <v/>
      </c>
      <c r="E11" s="10">
        <f>D11*0.2</f>
        <v/>
      </c>
      <c r="F11" s="9">
        <f>$B$6</f>
        <v/>
      </c>
      <c r="G11" s="11">
        <f>MIN(B11, IF(C11="Y", D11+E11, D11), F11)</f>
        <v/>
      </c>
      <c r="H11" s="12">
        <f>IF(C11="Y", 55.439, 35.439)</f>
        <v/>
      </c>
      <c r="I11" s="4">
        <f>IF(B11&gt;F11, "SHIPMENT NEEDED!", "OK")</f>
        <v/>
      </c>
    </row>
    <row r="12">
      <c r="A12" s="4" t="inlineStr">
        <is>
          <t>FN2</t>
        </is>
      </c>
      <c r="B12" s="7" t="n">
        <v>500</v>
      </c>
      <c r="C12" s="8" t="inlineStr">
        <is>
          <t>N</t>
        </is>
      </c>
      <c r="D12" s="9">
        <f>$B$5*$B$8</f>
        <v/>
      </c>
      <c r="E12" s="10">
        <f>D12*0.2</f>
        <v/>
      </c>
      <c r="F12" s="9">
        <f>$B$6</f>
        <v/>
      </c>
      <c r="G12" s="11">
        <f>MIN(B12, IF(C12="Y", D12+E12, D12), F12)</f>
        <v/>
      </c>
      <c r="H12" s="12">
        <f>IF(C12="Y", 55.439, 35.439)</f>
        <v/>
      </c>
      <c r="I12" s="4">
        <f>IF(B12&gt;F12, "SHIPMENT NEEDED!", "OK")</f>
        <v/>
      </c>
    </row>
    <row r="13">
      <c r="A13" s="4" t="inlineStr">
        <is>
          <t>FN3</t>
        </is>
      </c>
      <c r="B13" s="7" t="n">
        <v>500</v>
      </c>
      <c r="C13" s="8" t="inlineStr">
        <is>
          <t>N</t>
        </is>
      </c>
      <c r="D13" s="9">
        <f>$B$5*$B$8</f>
        <v/>
      </c>
      <c r="E13" s="10">
        <f>D13*0.2</f>
        <v/>
      </c>
      <c r="F13" s="9">
        <f>$B$6</f>
        <v/>
      </c>
      <c r="G13" s="11">
        <f>MIN(B13, IF(C13="Y", D13+E13, D13), F13)</f>
        <v/>
      </c>
      <c r="H13" s="12">
        <f>IF(C13="Y", 55.439, 35.439)</f>
        <v/>
      </c>
      <c r="I13" s="4">
        <f>IF(B13&gt;F13, "SHIPMENT NEEDED!", "OK")</f>
        <v/>
      </c>
    </row>
    <row r="14">
      <c r="A14" s="4" t="inlineStr">
        <is>
          <t>FN4</t>
        </is>
      </c>
      <c r="B14" s="7" t="n">
        <v>500</v>
      </c>
      <c r="C14" s="8" t="inlineStr">
        <is>
          <t>N</t>
        </is>
      </c>
      <c r="D14" s="9">
        <f>$B$5*$B$8</f>
        <v/>
      </c>
      <c r="E14" s="10">
        <f>D14*0.2</f>
        <v/>
      </c>
      <c r="F14" s="9">
        <f>$B$6</f>
        <v/>
      </c>
      <c r="G14" s="11">
        <f>MIN(B14, IF(C14="Y", D14+E14, D14), F14)</f>
        <v/>
      </c>
      <c r="H14" s="12">
        <f>IF(C14="Y", 55.439, 35.439)</f>
        <v/>
      </c>
      <c r="I14" s="4">
        <f>IF(B14&gt;F14, "SHIPMENT NEEDED!", "OK")</f>
        <v/>
      </c>
    </row>
    <row r="15">
      <c r="A15" s="4" t="inlineStr">
        <is>
          <t>FN5</t>
        </is>
      </c>
      <c r="B15" s="7" t="n">
        <v>500</v>
      </c>
      <c r="C15" s="8" t="inlineStr">
        <is>
          <t>N</t>
        </is>
      </c>
      <c r="D15" s="9">
        <f>$B$5*$B$8</f>
        <v/>
      </c>
      <c r="E15" s="10">
        <f>D15*0.2</f>
        <v/>
      </c>
      <c r="F15" s="9">
        <f>$B$6</f>
        <v/>
      </c>
      <c r="G15" s="11">
        <f>MIN(B15, IF(C15="Y", D15+E15, D15), F15)</f>
        <v/>
      </c>
      <c r="H15" s="12">
        <f>IF(C15="Y", 55.439, 35.439)</f>
        <v/>
      </c>
      <c r="I15" s="4">
        <f>IF(B15&gt;F15, "SHIPMENT NEEDED!", "OK")</f>
        <v/>
      </c>
    </row>
    <row r="16">
      <c r="A16" s="4" t="inlineStr">
        <is>
          <t>FN6</t>
        </is>
      </c>
      <c r="B16" s="7" t="n">
        <v>500</v>
      </c>
      <c r="C16" s="8" t="inlineStr">
        <is>
          <t>N</t>
        </is>
      </c>
      <c r="D16" s="9">
        <f>$B$5*$B$8</f>
        <v/>
      </c>
      <c r="E16" s="10">
        <f>D16*0.2</f>
        <v/>
      </c>
      <c r="F16" s="9">
        <f>$B$6</f>
        <v/>
      </c>
      <c r="G16" s="11">
        <f>MIN(B16, IF(C16="Y", D16+E16, D16), F16)</f>
        <v/>
      </c>
      <c r="H16" s="12">
        <f>IF(C16="Y", 55.439, 35.439)</f>
        <v/>
      </c>
      <c r="I16" s="4">
        <f>IF(B16&gt;F16, "SHIPMENT NEEDED!", "OK")</f>
        <v/>
      </c>
    </row>
    <row r="17">
      <c r="A17" s="4" t="inlineStr">
        <is>
          <t>FN7</t>
        </is>
      </c>
      <c r="B17" s="7" t="n">
        <v>500</v>
      </c>
      <c r="C17" s="8" t="inlineStr">
        <is>
          <t>N</t>
        </is>
      </c>
      <c r="D17" s="9">
        <f>$B$5*$B$8</f>
        <v/>
      </c>
      <c r="E17" s="10">
        <f>D17*0.2</f>
        <v/>
      </c>
      <c r="F17" s="9">
        <f>$B$6</f>
        <v/>
      </c>
      <c r="G17" s="11">
        <f>MIN(B17, IF(C17="Y", D17+E17, D17), F17)</f>
        <v/>
      </c>
      <c r="H17" s="12">
        <f>IF(C17="Y", 55.439, 35.439)</f>
        <v/>
      </c>
      <c r="I17" s="4">
        <f>IF(B17&gt;F17, "SHIPMENT NEEDED!", "OK")</f>
        <v/>
      </c>
    </row>
    <row r="18">
      <c r="A18" s="4" t="inlineStr">
        <is>
          <t>FN8</t>
        </is>
      </c>
      <c r="B18" s="7" t="n">
        <v>500</v>
      </c>
      <c r="C18" s="8" t="inlineStr">
        <is>
          <t>N</t>
        </is>
      </c>
      <c r="D18" s="9">
        <f>$B$5*$B$8</f>
        <v/>
      </c>
      <c r="E18" s="10">
        <f>D18*0.2</f>
        <v/>
      </c>
      <c r="F18" s="9">
        <f>$B$6</f>
        <v/>
      </c>
      <c r="G18" s="11">
        <f>MIN(B18, IF(C18="Y", D18+E18, D18), F18)</f>
        <v/>
      </c>
      <c r="H18" s="12">
        <f>IF(C18="Y", 55.439, 35.439)</f>
        <v/>
      </c>
      <c r="I18" s="4">
        <f>IF(B18&gt;F18, "SHIPMENT NEEDED!", "OK")</f>
        <v/>
      </c>
    </row>
    <row r="19">
      <c r="A19" s="13" t="inlineStr">
        <is>
          <t>TOTAL</t>
        </is>
      </c>
      <c r="B19" s="14">
        <f>SUM(B11:B18)</f>
        <v/>
      </c>
      <c r="G19" s="15">
        <f>SUM(G11:G18)</f>
        <v/>
      </c>
    </row>
    <row r="39">
      <c r="A39" s="16" t="inlineStr">
        <is>
          <t>═══ WEST ZONE ═══</t>
        </is>
      </c>
    </row>
    <row r="40">
      <c r="A40" s="4" t="inlineStr">
        <is>
          <t>Machines in Zone</t>
        </is>
      </c>
      <c r="B40" s="5" t="n">
        <v>86</v>
      </c>
    </row>
    <row r="41">
      <c r="A41" s="4" t="inlineStr">
        <is>
          <t>Material Stock (Part A)</t>
        </is>
      </c>
      <c r="B41" s="5" t="n">
        <v>1016</v>
      </c>
    </row>
    <row r="42">
      <c r="A42" s="4" t="inlineStr">
        <is>
          <t>Workers in Zone</t>
        </is>
      </c>
      <c r="B42" s="5" t="n">
        <v>71</v>
      </c>
    </row>
    <row r="43">
      <c r="A43" s="4" t="inlineStr">
        <is>
          <t>Nominal Rate/Machine</t>
        </is>
      </c>
      <c r="B43" s="5" t="n">
        <v>200</v>
      </c>
    </row>
    <row r="45">
      <c r="A45" s="17" t="inlineStr">
        <is>
          <t>Fortnight</t>
        </is>
      </c>
      <c r="B45" s="17" t="inlineStr">
        <is>
          <t>Target</t>
        </is>
      </c>
      <c r="C45" s="17" t="inlineStr">
        <is>
          <t>Overtime</t>
        </is>
      </c>
      <c r="D45" s="17" t="inlineStr">
        <is>
          <t>Local Capacity</t>
        </is>
      </c>
      <c r="E45" s="17" t="inlineStr">
        <is>
          <t>Max OT Pot.</t>
        </is>
      </c>
      <c r="F45" s="17" t="inlineStr">
        <is>
          <t>Material Cap</t>
        </is>
      </c>
      <c r="G45" s="17" t="inlineStr">
        <is>
          <t>REAL OUTPUT</t>
        </is>
      </c>
      <c r="H45" s="17" t="inlineStr">
        <is>
          <t>Est. Unit Cost</t>
        </is>
      </c>
      <c r="I45" s="17" t="inlineStr">
        <is>
          <t>Shipment?</t>
        </is>
      </c>
    </row>
    <row r="46">
      <c r="A46" s="4" t="inlineStr">
        <is>
          <t>FN1</t>
        </is>
      </c>
      <c r="B46" s="7" t="n">
        <v>500</v>
      </c>
      <c r="C46" s="8" t="inlineStr">
        <is>
          <t>N</t>
        </is>
      </c>
      <c r="D46" s="9">
        <f>$B$40*$B$43</f>
        <v/>
      </c>
      <c r="E46" s="10">
        <f>D46*0.2</f>
        <v/>
      </c>
      <c r="F46" s="9">
        <f>$B$41</f>
        <v/>
      </c>
      <c r="G46" s="11">
        <f>MIN(B46, IF(C46="Y", D46+E46, D46), F46)</f>
        <v/>
      </c>
      <c r="H46" s="12">
        <f>IF(C46="Y", 55.439, 35.439)</f>
        <v/>
      </c>
      <c r="I46" s="4">
        <f>IF(B46&gt;F46, "SHIPMENT NEEDED!", "OK")</f>
        <v/>
      </c>
    </row>
    <row r="47">
      <c r="A47" s="4" t="inlineStr">
        <is>
          <t>FN2</t>
        </is>
      </c>
      <c r="B47" s="7" t="n">
        <v>500</v>
      </c>
      <c r="C47" s="8" t="inlineStr">
        <is>
          <t>N</t>
        </is>
      </c>
      <c r="D47" s="9">
        <f>$B$40*$B$43</f>
        <v/>
      </c>
      <c r="E47" s="10">
        <f>D47*0.2</f>
        <v/>
      </c>
      <c r="F47" s="9">
        <f>$B$41</f>
        <v/>
      </c>
      <c r="G47" s="11">
        <f>MIN(B47, IF(C47="Y", D47+E47, D47), F47)</f>
        <v/>
      </c>
      <c r="H47" s="12">
        <f>IF(C47="Y", 55.439, 35.439)</f>
        <v/>
      </c>
      <c r="I47" s="4">
        <f>IF(B47&gt;F47, "SHIPMENT NEEDED!", "OK")</f>
        <v/>
      </c>
    </row>
    <row r="48">
      <c r="A48" s="4" t="inlineStr">
        <is>
          <t>FN3</t>
        </is>
      </c>
      <c r="B48" s="7" t="n">
        <v>500</v>
      </c>
      <c r="C48" s="8" t="inlineStr">
        <is>
          <t>N</t>
        </is>
      </c>
      <c r="D48" s="9">
        <f>$B$40*$B$43</f>
        <v/>
      </c>
      <c r="E48" s="10">
        <f>D48*0.2</f>
        <v/>
      </c>
      <c r="F48" s="9">
        <f>$B$41</f>
        <v/>
      </c>
      <c r="G48" s="11">
        <f>MIN(B48, IF(C48="Y", D48+E48, D48), F48)</f>
        <v/>
      </c>
      <c r="H48" s="12">
        <f>IF(C48="Y", 55.439, 35.439)</f>
        <v/>
      </c>
      <c r="I48" s="4">
        <f>IF(B48&gt;F48, "SHIPMENT NEEDED!", "OK")</f>
        <v/>
      </c>
    </row>
    <row r="49">
      <c r="A49" s="4" t="inlineStr">
        <is>
          <t>FN4</t>
        </is>
      </c>
      <c r="B49" s="7" t="n">
        <v>500</v>
      </c>
      <c r="C49" s="8" t="inlineStr">
        <is>
          <t>N</t>
        </is>
      </c>
      <c r="D49" s="9">
        <f>$B$40*$B$43</f>
        <v/>
      </c>
      <c r="E49" s="10">
        <f>D49*0.2</f>
        <v/>
      </c>
      <c r="F49" s="9">
        <f>$B$41</f>
        <v/>
      </c>
      <c r="G49" s="11">
        <f>MIN(B49, IF(C49="Y", D49+E49, D49), F49)</f>
        <v/>
      </c>
      <c r="H49" s="12">
        <f>IF(C49="Y", 55.439, 35.439)</f>
        <v/>
      </c>
      <c r="I49" s="4">
        <f>IF(B49&gt;F49, "SHIPMENT NEEDED!", "OK")</f>
        <v/>
      </c>
    </row>
    <row r="50">
      <c r="A50" s="4" t="inlineStr">
        <is>
          <t>FN5</t>
        </is>
      </c>
      <c r="B50" s="7" t="n">
        <v>500</v>
      </c>
      <c r="C50" s="8" t="inlineStr">
        <is>
          <t>N</t>
        </is>
      </c>
      <c r="D50" s="9">
        <f>$B$40*$B$43</f>
        <v/>
      </c>
      <c r="E50" s="10">
        <f>D50*0.2</f>
        <v/>
      </c>
      <c r="F50" s="9">
        <f>$B$41</f>
        <v/>
      </c>
      <c r="G50" s="11">
        <f>MIN(B50, IF(C50="Y", D50+E50, D50), F50)</f>
        <v/>
      </c>
      <c r="H50" s="12">
        <f>IF(C50="Y", 55.439, 35.439)</f>
        <v/>
      </c>
      <c r="I50" s="4">
        <f>IF(B50&gt;F50, "SHIPMENT NEEDED!", "OK")</f>
        <v/>
      </c>
    </row>
    <row r="51">
      <c r="A51" s="4" t="inlineStr">
        <is>
          <t>FN6</t>
        </is>
      </c>
      <c r="B51" s="7" t="n">
        <v>500</v>
      </c>
      <c r="C51" s="8" t="inlineStr">
        <is>
          <t>N</t>
        </is>
      </c>
      <c r="D51" s="9">
        <f>$B$40*$B$43</f>
        <v/>
      </c>
      <c r="E51" s="10">
        <f>D51*0.2</f>
        <v/>
      </c>
      <c r="F51" s="9">
        <f>$B$41</f>
        <v/>
      </c>
      <c r="G51" s="11">
        <f>MIN(B51, IF(C51="Y", D51+E51, D51), F51)</f>
        <v/>
      </c>
      <c r="H51" s="12">
        <f>IF(C51="Y", 55.439, 35.439)</f>
        <v/>
      </c>
      <c r="I51" s="4">
        <f>IF(B51&gt;F51, "SHIPMENT NEEDED!", "OK")</f>
        <v/>
      </c>
    </row>
    <row r="52">
      <c r="A52" s="4" t="inlineStr">
        <is>
          <t>FN7</t>
        </is>
      </c>
      <c r="B52" s="7" t="n">
        <v>500</v>
      </c>
      <c r="C52" s="8" t="inlineStr">
        <is>
          <t>N</t>
        </is>
      </c>
      <c r="D52" s="9">
        <f>$B$40*$B$43</f>
        <v/>
      </c>
      <c r="E52" s="10">
        <f>D52*0.2</f>
        <v/>
      </c>
      <c r="F52" s="9">
        <f>$B$41</f>
        <v/>
      </c>
      <c r="G52" s="11">
        <f>MIN(B52, IF(C52="Y", D52+E52, D52), F52)</f>
        <v/>
      </c>
      <c r="H52" s="12">
        <f>IF(C52="Y", 55.439, 35.439)</f>
        <v/>
      </c>
      <c r="I52" s="4">
        <f>IF(B52&gt;F52, "SHIPMENT NEEDED!", "OK")</f>
        <v/>
      </c>
    </row>
    <row r="53">
      <c r="A53" s="4" t="inlineStr">
        <is>
          <t>FN8</t>
        </is>
      </c>
      <c r="B53" s="7" t="n">
        <v>500</v>
      </c>
      <c r="C53" s="8" t="inlineStr">
        <is>
          <t>N</t>
        </is>
      </c>
      <c r="D53" s="9">
        <f>$B$40*$B$43</f>
        <v/>
      </c>
      <c r="E53" s="10">
        <f>D53*0.2</f>
        <v/>
      </c>
      <c r="F53" s="9">
        <f>$B$41</f>
        <v/>
      </c>
      <c r="G53" s="11">
        <f>MIN(B53, IF(C53="Y", D53+E53, D53), F53)</f>
        <v/>
      </c>
      <c r="H53" s="12">
        <f>IF(C53="Y", 55.439, 35.439)</f>
        <v/>
      </c>
      <c r="I53" s="4">
        <f>IF(B53&gt;F53, "SHIPMENT NEEDED!", "OK")</f>
        <v/>
      </c>
    </row>
    <row r="54">
      <c r="A54" s="13" t="inlineStr">
        <is>
          <t>TOTAL</t>
        </is>
      </c>
      <c r="B54" s="14">
        <f>SUM(B46:B53)</f>
        <v/>
      </c>
      <c r="G54" s="15">
        <f>SUM(G46:G53)</f>
        <v/>
      </c>
    </row>
    <row r="74">
      <c r="A74" s="18" t="inlineStr">
        <is>
          <t>═══ NORTH ZONE ═══</t>
        </is>
      </c>
    </row>
    <row r="75">
      <c r="A75" s="4" t="inlineStr">
        <is>
          <t>Machines in Zone</t>
        </is>
      </c>
      <c r="B75" s="5" t="n">
        <v>78</v>
      </c>
    </row>
    <row r="76">
      <c r="A76" s="4" t="inlineStr">
        <is>
          <t>Material Stock (Part A)</t>
        </is>
      </c>
      <c r="B76" s="5" t="n">
        <v>0</v>
      </c>
    </row>
    <row r="77">
      <c r="A77" s="4" t="inlineStr">
        <is>
          <t>Workers in Zone</t>
        </is>
      </c>
      <c r="B77" s="5" t="n">
        <v>0</v>
      </c>
    </row>
    <row r="78">
      <c r="A78" s="4" t="inlineStr">
        <is>
          <t>Nominal Rate/Machine</t>
        </is>
      </c>
      <c r="B78" s="5" t="n">
        <v>200</v>
      </c>
    </row>
    <row r="80">
      <c r="A80" s="19" t="inlineStr">
        <is>
          <t>Fortnight</t>
        </is>
      </c>
      <c r="B80" s="19" t="inlineStr">
        <is>
          <t>Target</t>
        </is>
      </c>
      <c r="C80" s="19" t="inlineStr">
        <is>
          <t>Overtime</t>
        </is>
      </c>
      <c r="D80" s="19" t="inlineStr">
        <is>
          <t>Local Capacity</t>
        </is>
      </c>
      <c r="E80" s="19" t="inlineStr">
        <is>
          <t>Max OT Pot.</t>
        </is>
      </c>
      <c r="F80" s="19" t="inlineStr">
        <is>
          <t>Material Cap</t>
        </is>
      </c>
      <c r="G80" s="19" t="inlineStr">
        <is>
          <t>REAL OUTPUT</t>
        </is>
      </c>
      <c r="H80" s="19" t="inlineStr">
        <is>
          <t>Est. Unit Cost</t>
        </is>
      </c>
      <c r="I80" s="19" t="inlineStr">
        <is>
          <t>Shipment?</t>
        </is>
      </c>
    </row>
    <row r="81">
      <c r="A81" s="4" t="inlineStr">
        <is>
          <t>FN1</t>
        </is>
      </c>
      <c r="B81" s="7" t="n">
        <v>500</v>
      </c>
      <c r="C81" s="8" t="inlineStr">
        <is>
          <t>N</t>
        </is>
      </c>
      <c r="D81" s="9">
        <f>$B$75*$B$78</f>
        <v/>
      </c>
      <c r="E81" s="10">
        <f>D81*0.2</f>
        <v/>
      </c>
      <c r="F81" s="9">
        <f>$B$76</f>
        <v/>
      </c>
      <c r="G81" s="11">
        <f>MIN(B81, IF(C81="Y", D81+E81, D81), F81)</f>
        <v/>
      </c>
      <c r="H81" s="12">
        <f>IF(C81="Y", 55.439, 35.439)</f>
        <v/>
      </c>
      <c r="I81" s="4">
        <f>IF(B81&gt;F81, "SHIPMENT NEEDED!", "OK")</f>
        <v/>
      </c>
    </row>
    <row r="82">
      <c r="A82" s="4" t="inlineStr">
        <is>
          <t>FN2</t>
        </is>
      </c>
      <c r="B82" s="7" t="n">
        <v>500</v>
      </c>
      <c r="C82" s="8" t="inlineStr">
        <is>
          <t>N</t>
        </is>
      </c>
      <c r="D82" s="9">
        <f>$B$75*$B$78</f>
        <v/>
      </c>
      <c r="E82" s="10">
        <f>D82*0.2</f>
        <v/>
      </c>
      <c r="F82" s="9">
        <f>$B$76</f>
        <v/>
      </c>
      <c r="G82" s="11">
        <f>MIN(B82, IF(C82="Y", D82+E82, D82), F82)</f>
        <v/>
      </c>
      <c r="H82" s="12">
        <f>IF(C82="Y", 55.439, 35.439)</f>
        <v/>
      </c>
      <c r="I82" s="4">
        <f>IF(B82&gt;F82, "SHIPMENT NEEDED!", "OK")</f>
        <v/>
      </c>
    </row>
    <row r="83">
      <c r="A83" s="4" t="inlineStr">
        <is>
          <t>FN3</t>
        </is>
      </c>
      <c r="B83" s="7" t="n">
        <v>500</v>
      </c>
      <c r="C83" s="8" t="inlineStr">
        <is>
          <t>N</t>
        </is>
      </c>
      <c r="D83" s="9">
        <f>$B$75*$B$78</f>
        <v/>
      </c>
      <c r="E83" s="10">
        <f>D83*0.2</f>
        <v/>
      </c>
      <c r="F83" s="9">
        <f>$B$76</f>
        <v/>
      </c>
      <c r="G83" s="11">
        <f>MIN(B83, IF(C83="Y", D83+E83, D83), F83)</f>
        <v/>
      </c>
      <c r="H83" s="12">
        <f>IF(C83="Y", 55.439, 35.439)</f>
        <v/>
      </c>
      <c r="I83" s="4">
        <f>IF(B83&gt;F83, "SHIPMENT NEEDED!", "OK")</f>
        <v/>
      </c>
    </row>
    <row r="84">
      <c r="A84" s="4" t="inlineStr">
        <is>
          <t>FN4</t>
        </is>
      </c>
      <c r="B84" s="7" t="n">
        <v>500</v>
      </c>
      <c r="C84" s="8" t="inlineStr">
        <is>
          <t>N</t>
        </is>
      </c>
      <c r="D84" s="9">
        <f>$B$75*$B$78</f>
        <v/>
      </c>
      <c r="E84" s="10">
        <f>D84*0.2</f>
        <v/>
      </c>
      <c r="F84" s="9">
        <f>$B$76</f>
        <v/>
      </c>
      <c r="G84" s="11">
        <f>MIN(B84, IF(C84="Y", D84+E84, D84), F84)</f>
        <v/>
      </c>
      <c r="H84" s="12">
        <f>IF(C84="Y", 55.439, 35.439)</f>
        <v/>
      </c>
      <c r="I84" s="4">
        <f>IF(B84&gt;F84, "SHIPMENT NEEDED!", "OK")</f>
        <v/>
      </c>
    </row>
    <row r="85">
      <c r="A85" s="4" t="inlineStr">
        <is>
          <t>FN5</t>
        </is>
      </c>
      <c r="B85" s="7" t="n">
        <v>500</v>
      </c>
      <c r="C85" s="8" t="inlineStr">
        <is>
          <t>N</t>
        </is>
      </c>
      <c r="D85" s="9">
        <f>$B$75*$B$78</f>
        <v/>
      </c>
      <c r="E85" s="10">
        <f>D85*0.2</f>
        <v/>
      </c>
      <c r="F85" s="9">
        <f>$B$76</f>
        <v/>
      </c>
      <c r="G85" s="11">
        <f>MIN(B85, IF(C85="Y", D85+E85, D85), F85)</f>
        <v/>
      </c>
      <c r="H85" s="12">
        <f>IF(C85="Y", 55.439, 35.439)</f>
        <v/>
      </c>
      <c r="I85" s="4">
        <f>IF(B85&gt;F85, "SHIPMENT NEEDED!", "OK")</f>
        <v/>
      </c>
    </row>
    <row r="86">
      <c r="A86" s="4" t="inlineStr">
        <is>
          <t>FN6</t>
        </is>
      </c>
      <c r="B86" s="7" t="n">
        <v>500</v>
      </c>
      <c r="C86" s="8" t="inlineStr">
        <is>
          <t>N</t>
        </is>
      </c>
      <c r="D86" s="9">
        <f>$B$75*$B$78</f>
        <v/>
      </c>
      <c r="E86" s="10">
        <f>D86*0.2</f>
        <v/>
      </c>
      <c r="F86" s="9">
        <f>$B$76</f>
        <v/>
      </c>
      <c r="G86" s="11">
        <f>MIN(B86, IF(C86="Y", D86+E86, D86), F86)</f>
        <v/>
      </c>
      <c r="H86" s="12">
        <f>IF(C86="Y", 55.439, 35.439)</f>
        <v/>
      </c>
      <c r="I86" s="4">
        <f>IF(B86&gt;F86, "SHIPMENT NEEDED!", "OK")</f>
        <v/>
      </c>
    </row>
    <row r="87">
      <c r="A87" s="4" t="inlineStr">
        <is>
          <t>FN7</t>
        </is>
      </c>
      <c r="B87" s="7" t="n">
        <v>500</v>
      </c>
      <c r="C87" s="8" t="inlineStr">
        <is>
          <t>N</t>
        </is>
      </c>
      <c r="D87" s="9">
        <f>$B$75*$B$78</f>
        <v/>
      </c>
      <c r="E87" s="10">
        <f>D87*0.2</f>
        <v/>
      </c>
      <c r="F87" s="9">
        <f>$B$76</f>
        <v/>
      </c>
      <c r="G87" s="11">
        <f>MIN(B87, IF(C87="Y", D87+E87, D87), F87)</f>
        <v/>
      </c>
      <c r="H87" s="12">
        <f>IF(C87="Y", 55.439, 35.439)</f>
        <v/>
      </c>
      <c r="I87" s="4">
        <f>IF(B87&gt;F87, "SHIPMENT NEEDED!", "OK")</f>
        <v/>
      </c>
    </row>
    <row r="88">
      <c r="A88" s="4" t="inlineStr">
        <is>
          <t>FN8</t>
        </is>
      </c>
      <c r="B88" s="7" t="n">
        <v>500</v>
      </c>
      <c r="C88" s="8" t="inlineStr">
        <is>
          <t>N</t>
        </is>
      </c>
      <c r="D88" s="9">
        <f>$B$75*$B$78</f>
        <v/>
      </c>
      <c r="E88" s="10">
        <f>D88*0.2</f>
        <v/>
      </c>
      <c r="F88" s="9">
        <f>$B$76</f>
        <v/>
      </c>
      <c r="G88" s="11">
        <f>MIN(B88, IF(C88="Y", D88+E88, D88), F88)</f>
        <v/>
      </c>
      <c r="H88" s="12">
        <f>IF(C88="Y", 55.439, 35.439)</f>
        <v/>
      </c>
      <c r="I88" s="4">
        <f>IF(B88&gt;F88, "SHIPMENT NEEDED!", "OK")</f>
        <v/>
      </c>
    </row>
    <row r="89">
      <c r="A89" s="13" t="inlineStr">
        <is>
          <t>TOTAL</t>
        </is>
      </c>
      <c r="B89" s="14">
        <f>SUM(B81:B88)</f>
        <v/>
      </c>
      <c r="G89" s="15">
        <f>SUM(G81:G88)</f>
        <v/>
      </c>
    </row>
    <row r="109">
      <c r="A109" s="20" t="inlineStr">
        <is>
          <t>═══ EAST ZONE ═══</t>
        </is>
      </c>
    </row>
    <row r="110">
      <c r="A110" s="4" t="inlineStr">
        <is>
          <t>Machines in Zone</t>
        </is>
      </c>
      <c r="B110" s="5" t="n">
        <v>78</v>
      </c>
    </row>
    <row r="111">
      <c r="A111" s="4" t="inlineStr">
        <is>
          <t>Material Stock (Part A)</t>
        </is>
      </c>
      <c r="B111" s="5" t="n">
        <v>0</v>
      </c>
    </row>
    <row r="112">
      <c r="A112" s="4" t="inlineStr">
        <is>
          <t>Workers in Zone</t>
        </is>
      </c>
      <c r="B112" s="5" t="n">
        <v>0</v>
      </c>
    </row>
    <row r="113">
      <c r="A113" s="4" t="inlineStr">
        <is>
          <t>Nominal Rate/Machine</t>
        </is>
      </c>
      <c r="B113" s="5" t="n">
        <v>200</v>
      </c>
    </row>
    <row r="115">
      <c r="A115" s="21" t="inlineStr">
        <is>
          <t>Fortnight</t>
        </is>
      </c>
      <c r="B115" s="21" t="inlineStr">
        <is>
          <t>Target</t>
        </is>
      </c>
      <c r="C115" s="21" t="inlineStr">
        <is>
          <t>Overtime</t>
        </is>
      </c>
      <c r="D115" s="21" t="inlineStr">
        <is>
          <t>Local Capacity</t>
        </is>
      </c>
      <c r="E115" s="21" t="inlineStr">
        <is>
          <t>Max OT Pot.</t>
        </is>
      </c>
      <c r="F115" s="21" t="inlineStr">
        <is>
          <t>Material Cap</t>
        </is>
      </c>
      <c r="G115" s="21" t="inlineStr">
        <is>
          <t>REAL OUTPUT</t>
        </is>
      </c>
      <c r="H115" s="21" t="inlineStr">
        <is>
          <t>Est. Unit Cost</t>
        </is>
      </c>
      <c r="I115" s="21" t="inlineStr">
        <is>
          <t>Shipment?</t>
        </is>
      </c>
    </row>
    <row r="116">
      <c r="A116" s="4" t="inlineStr">
        <is>
          <t>FN1</t>
        </is>
      </c>
      <c r="B116" s="7" t="n">
        <v>500</v>
      </c>
      <c r="C116" s="8" t="inlineStr">
        <is>
          <t>N</t>
        </is>
      </c>
      <c r="D116" s="9">
        <f>$B$110*$B$113</f>
        <v/>
      </c>
      <c r="E116" s="10">
        <f>D116*0.2</f>
        <v/>
      </c>
      <c r="F116" s="9">
        <f>$B$111</f>
        <v/>
      </c>
      <c r="G116" s="11">
        <f>MIN(B116, IF(C116="Y", D116+E116, D116), F116)</f>
        <v/>
      </c>
      <c r="H116" s="12">
        <f>IF(C116="Y", 55.439, 35.439)</f>
        <v/>
      </c>
      <c r="I116" s="4">
        <f>IF(B116&gt;F116, "SHIPMENT NEEDED!", "OK")</f>
        <v/>
      </c>
    </row>
    <row r="117">
      <c r="A117" s="4" t="inlineStr">
        <is>
          <t>FN2</t>
        </is>
      </c>
      <c r="B117" s="7" t="n">
        <v>500</v>
      </c>
      <c r="C117" s="8" t="inlineStr">
        <is>
          <t>N</t>
        </is>
      </c>
      <c r="D117" s="9">
        <f>$B$110*$B$113</f>
        <v/>
      </c>
      <c r="E117" s="10">
        <f>D117*0.2</f>
        <v/>
      </c>
      <c r="F117" s="9">
        <f>$B$111</f>
        <v/>
      </c>
      <c r="G117" s="11">
        <f>MIN(B117, IF(C117="Y", D117+E117, D117), F117)</f>
        <v/>
      </c>
      <c r="H117" s="12">
        <f>IF(C117="Y", 55.439, 35.439)</f>
        <v/>
      </c>
      <c r="I117" s="4">
        <f>IF(B117&gt;F117, "SHIPMENT NEEDED!", "OK")</f>
        <v/>
      </c>
    </row>
    <row r="118">
      <c r="A118" s="4" t="inlineStr">
        <is>
          <t>FN3</t>
        </is>
      </c>
      <c r="B118" s="7" t="n">
        <v>500</v>
      </c>
      <c r="C118" s="8" t="inlineStr">
        <is>
          <t>N</t>
        </is>
      </c>
      <c r="D118" s="9">
        <f>$B$110*$B$113</f>
        <v/>
      </c>
      <c r="E118" s="10">
        <f>D118*0.2</f>
        <v/>
      </c>
      <c r="F118" s="9">
        <f>$B$111</f>
        <v/>
      </c>
      <c r="G118" s="11">
        <f>MIN(B118, IF(C118="Y", D118+E118, D118), F118)</f>
        <v/>
      </c>
      <c r="H118" s="12">
        <f>IF(C118="Y", 55.439, 35.439)</f>
        <v/>
      </c>
      <c r="I118" s="4">
        <f>IF(B118&gt;F118, "SHIPMENT NEEDED!", "OK")</f>
        <v/>
      </c>
    </row>
    <row r="119">
      <c r="A119" s="4" t="inlineStr">
        <is>
          <t>FN4</t>
        </is>
      </c>
      <c r="B119" s="7" t="n">
        <v>500</v>
      </c>
      <c r="C119" s="8" t="inlineStr">
        <is>
          <t>N</t>
        </is>
      </c>
      <c r="D119" s="9">
        <f>$B$110*$B$113</f>
        <v/>
      </c>
      <c r="E119" s="10">
        <f>D119*0.2</f>
        <v/>
      </c>
      <c r="F119" s="9">
        <f>$B$111</f>
        <v/>
      </c>
      <c r="G119" s="11">
        <f>MIN(B119, IF(C119="Y", D119+E119, D119), F119)</f>
        <v/>
      </c>
      <c r="H119" s="12">
        <f>IF(C119="Y", 55.439, 35.439)</f>
        <v/>
      </c>
      <c r="I119" s="4">
        <f>IF(B119&gt;F119, "SHIPMENT NEEDED!", "OK")</f>
        <v/>
      </c>
    </row>
    <row r="120">
      <c r="A120" s="4" t="inlineStr">
        <is>
          <t>FN5</t>
        </is>
      </c>
      <c r="B120" s="7" t="n">
        <v>500</v>
      </c>
      <c r="C120" s="8" t="inlineStr">
        <is>
          <t>N</t>
        </is>
      </c>
      <c r="D120" s="9">
        <f>$B$110*$B$113</f>
        <v/>
      </c>
      <c r="E120" s="10">
        <f>D120*0.2</f>
        <v/>
      </c>
      <c r="F120" s="9">
        <f>$B$111</f>
        <v/>
      </c>
      <c r="G120" s="11">
        <f>MIN(B120, IF(C120="Y", D120+E120, D120), F120)</f>
        <v/>
      </c>
      <c r="H120" s="12">
        <f>IF(C120="Y", 55.439, 35.439)</f>
        <v/>
      </c>
      <c r="I120" s="4">
        <f>IF(B120&gt;F120, "SHIPMENT NEEDED!", "OK")</f>
        <v/>
      </c>
    </row>
    <row r="121">
      <c r="A121" s="4" t="inlineStr">
        <is>
          <t>FN6</t>
        </is>
      </c>
      <c r="B121" s="7" t="n">
        <v>500</v>
      </c>
      <c r="C121" s="8" t="inlineStr">
        <is>
          <t>N</t>
        </is>
      </c>
      <c r="D121" s="9">
        <f>$B$110*$B$113</f>
        <v/>
      </c>
      <c r="E121" s="10">
        <f>D121*0.2</f>
        <v/>
      </c>
      <c r="F121" s="9">
        <f>$B$111</f>
        <v/>
      </c>
      <c r="G121" s="11">
        <f>MIN(B121, IF(C121="Y", D121+E121, D121), F121)</f>
        <v/>
      </c>
      <c r="H121" s="12">
        <f>IF(C121="Y", 55.439, 35.439)</f>
        <v/>
      </c>
      <c r="I121" s="4">
        <f>IF(B121&gt;F121, "SHIPMENT NEEDED!", "OK")</f>
        <v/>
      </c>
    </row>
    <row r="122">
      <c r="A122" s="4" t="inlineStr">
        <is>
          <t>FN7</t>
        </is>
      </c>
      <c r="B122" s="7" t="n">
        <v>500</v>
      </c>
      <c r="C122" s="8" t="inlineStr">
        <is>
          <t>N</t>
        </is>
      </c>
      <c r="D122" s="9">
        <f>$B$110*$B$113</f>
        <v/>
      </c>
      <c r="E122" s="10">
        <f>D122*0.2</f>
        <v/>
      </c>
      <c r="F122" s="9">
        <f>$B$111</f>
        <v/>
      </c>
      <c r="G122" s="11">
        <f>MIN(B122, IF(C122="Y", D122+E122, D122), F122)</f>
        <v/>
      </c>
      <c r="H122" s="12">
        <f>IF(C122="Y", 55.439, 35.439)</f>
        <v/>
      </c>
      <c r="I122" s="4">
        <f>IF(B122&gt;F122, "SHIPMENT NEEDED!", "OK")</f>
        <v/>
      </c>
    </row>
    <row r="123">
      <c r="A123" s="4" t="inlineStr">
        <is>
          <t>FN8</t>
        </is>
      </c>
      <c r="B123" s="7" t="n">
        <v>500</v>
      </c>
      <c r="C123" s="8" t="inlineStr">
        <is>
          <t>N</t>
        </is>
      </c>
      <c r="D123" s="9">
        <f>$B$110*$B$113</f>
        <v/>
      </c>
      <c r="E123" s="10">
        <f>D123*0.2</f>
        <v/>
      </c>
      <c r="F123" s="9">
        <f>$B$111</f>
        <v/>
      </c>
      <c r="G123" s="11">
        <f>MIN(B123, IF(C123="Y", D123+E123, D123), F123)</f>
        <v/>
      </c>
      <c r="H123" s="12">
        <f>IF(C123="Y", 55.439, 35.439)</f>
        <v/>
      </c>
      <c r="I123" s="4">
        <f>IF(B123&gt;F123, "SHIPMENT NEEDED!", "OK")</f>
        <v/>
      </c>
    </row>
    <row r="124">
      <c r="A124" s="13" t="inlineStr">
        <is>
          <t>TOTAL</t>
        </is>
      </c>
      <c r="B124" s="14">
        <f>SUM(B116:B123)</f>
        <v/>
      </c>
      <c r="G124" s="15">
        <f>SUM(G116:G123)</f>
        <v/>
      </c>
    </row>
    <row r="144">
      <c r="A144" s="22" t="inlineStr">
        <is>
          <t>═══ SOUTH ZONE ═══</t>
        </is>
      </c>
    </row>
    <row r="145">
      <c r="A145" s="4" t="inlineStr">
        <is>
          <t>Machines in Zone</t>
        </is>
      </c>
      <c r="B145" s="5" t="n">
        <v>60390</v>
      </c>
    </row>
    <row r="146">
      <c r="A146" s="4" t="inlineStr">
        <is>
          <t>Material Stock (Part A)</t>
        </is>
      </c>
      <c r="B146" s="5" t="n">
        <v>0</v>
      </c>
    </row>
    <row r="147">
      <c r="A147" s="4" t="inlineStr">
        <is>
          <t>Workers in Zone</t>
        </is>
      </c>
      <c r="B147" s="5" t="n">
        <v>0</v>
      </c>
    </row>
    <row r="148">
      <c r="A148" s="4" t="inlineStr">
        <is>
          <t>Nominal Rate/Machine</t>
        </is>
      </c>
      <c r="B148" s="5" t="n">
        <v>200</v>
      </c>
    </row>
    <row r="150">
      <c r="A150" s="23" t="inlineStr">
        <is>
          <t>Fortnight</t>
        </is>
      </c>
      <c r="B150" s="23" t="inlineStr">
        <is>
          <t>Target</t>
        </is>
      </c>
      <c r="C150" s="23" t="inlineStr">
        <is>
          <t>Overtime</t>
        </is>
      </c>
      <c r="D150" s="23" t="inlineStr">
        <is>
          <t>Local Capacity</t>
        </is>
      </c>
      <c r="E150" s="23" t="inlineStr">
        <is>
          <t>Max OT Pot.</t>
        </is>
      </c>
      <c r="F150" s="23" t="inlineStr">
        <is>
          <t>Material Cap</t>
        </is>
      </c>
      <c r="G150" s="23" t="inlineStr">
        <is>
          <t>REAL OUTPUT</t>
        </is>
      </c>
      <c r="H150" s="23" t="inlineStr">
        <is>
          <t>Est. Unit Cost</t>
        </is>
      </c>
      <c r="I150" s="23" t="inlineStr">
        <is>
          <t>Shipment?</t>
        </is>
      </c>
    </row>
    <row r="151">
      <c r="A151" s="4" t="inlineStr">
        <is>
          <t>FN1</t>
        </is>
      </c>
      <c r="B151" s="7" t="n">
        <v>500</v>
      </c>
      <c r="C151" s="8" t="inlineStr">
        <is>
          <t>N</t>
        </is>
      </c>
      <c r="D151" s="9">
        <f>$B$145*$B$148</f>
        <v/>
      </c>
      <c r="E151" s="10">
        <f>D151*0.2</f>
        <v/>
      </c>
      <c r="F151" s="9">
        <f>$B$146</f>
        <v/>
      </c>
      <c r="G151" s="11">
        <f>MIN(B151, IF(C151="Y", D151+E151, D151), F151)</f>
        <v/>
      </c>
      <c r="H151" s="12">
        <f>IF(C151="Y", 55.439, 35.439)</f>
        <v/>
      </c>
      <c r="I151" s="4">
        <f>IF(B151&gt;F151, "SHIPMENT NEEDED!", "OK")</f>
        <v/>
      </c>
    </row>
    <row r="152">
      <c r="A152" s="4" t="inlineStr">
        <is>
          <t>FN2</t>
        </is>
      </c>
      <c r="B152" s="7" t="n">
        <v>500</v>
      </c>
      <c r="C152" s="8" t="inlineStr">
        <is>
          <t>N</t>
        </is>
      </c>
      <c r="D152" s="9">
        <f>$B$145*$B$148</f>
        <v/>
      </c>
      <c r="E152" s="10">
        <f>D152*0.2</f>
        <v/>
      </c>
      <c r="F152" s="9">
        <f>$B$146</f>
        <v/>
      </c>
      <c r="G152" s="11">
        <f>MIN(B152, IF(C152="Y", D152+E152, D152), F152)</f>
        <v/>
      </c>
      <c r="H152" s="12">
        <f>IF(C152="Y", 55.439, 35.439)</f>
        <v/>
      </c>
      <c r="I152" s="4">
        <f>IF(B152&gt;F152, "SHIPMENT NEEDED!", "OK")</f>
        <v/>
      </c>
    </row>
    <row r="153">
      <c r="A153" s="4" t="inlineStr">
        <is>
          <t>FN3</t>
        </is>
      </c>
      <c r="B153" s="7" t="n">
        <v>500</v>
      </c>
      <c r="C153" s="8" t="inlineStr">
        <is>
          <t>N</t>
        </is>
      </c>
      <c r="D153" s="9">
        <f>$B$145*$B$148</f>
        <v/>
      </c>
      <c r="E153" s="10">
        <f>D153*0.2</f>
        <v/>
      </c>
      <c r="F153" s="9">
        <f>$B$146</f>
        <v/>
      </c>
      <c r="G153" s="11">
        <f>MIN(B153, IF(C153="Y", D153+E153, D153), F153)</f>
        <v/>
      </c>
      <c r="H153" s="12">
        <f>IF(C153="Y", 55.439, 35.439)</f>
        <v/>
      </c>
      <c r="I153" s="4">
        <f>IF(B153&gt;F153, "SHIPMENT NEEDED!", "OK")</f>
        <v/>
      </c>
    </row>
    <row r="154">
      <c r="A154" s="4" t="inlineStr">
        <is>
          <t>FN4</t>
        </is>
      </c>
      <c r="B154" s="7" t="n">
        <v>500</v>
      </c>
      <c r="C154" s="8" t="inlineStr">
        <is>
          <t>N</t>
        </is>
      </c>
      <c r="D154" s="9">
        <f>$B$145*$B$148</f>
        <v/>
      </c>
      <c r="E154" s="10">
        <f>D154*0.2</f>
        <v/>
      </c>
      <c r="F154" s="9">
        <f>$B$146</f>
        <v/>
      </c>
      <c r="G154" s="11">
        <f>MIN(B154, IF(C154="Y", D154+E154, D154), F154)</f>
        <v/>
      </c>
      <c r="H154" s="12">
        <f>IF(C154="Y", 55.439, 35.439)</f>
        <v/>
      </c>
      <c r="I154" s="4">
        <f>IF(B154&gt;F154, "SHIPMENT NEEDED!", "OK")</f>
        <v/>
      </c>
    </row>
    <row r="155">
      <c r="A155" s="4" t="inlineStr">
        <is>
          <t>FN5</t>
        </is>
      </c>
      <c r="B155" s="7" t="n">
        <v>500</v>
      </c>
      <c r="C155" s="8" t="inlineStr">
        <is>
          <t>N</t>
        </is>
      </c>
      <c r="D155" s="9">
        <f>$B$145*$B$148</f>
        <v/>
      </c>
      <c r="E155" s="10">
        <f>D155*0.2</f>
        <v/>
      </c>
      <c r="F155" s="9">
        <f>$B$146</f>
        <v/>
      </c>
      <c r="G155" s="11">
        <f>MIN(B155, IF(C155="Y", D155+E155, D155), F155)</f>
        <v/>
      </c>
      <c r="H155" s="12">
        <f>IF(C155="Y", 55.439, 35.439)</f>
        <v/>
      </c>
      <c r="I155" s="4">
        <f>IF(B155&gt;F155, "SHIPMENT NEEDED!", "OK")</f>
        <v/>
      </c>
    </row>
    <row r="156">
      <c r="A156" s="4" t="inlineStr">
        <is>
          <t>FN6</t>
        </is>
      </c>
      <c r="B156" s="7" t="n">
        <v>500</v>
      </c>
      <c r="C156" s="8" t="inlineStr">
        <is>
          <t>N</t>
        </is>
      </c>
      <c r="D156" s="9">
        <f>$B$145*$B$148</f>
        <v/>
      </c>
      <c r="E156" s="10">
        <f>D156*0.2</f>
        <v/>
      </c>
      <c r="F156" s="9">
        <f>$B$146</f>
        <v/>
      </c>
      <c r="G156" s="11">
        <f>MIN(B156, IF(C156="Y", D156+E156, D156), F156)</f>
        <v/>
      </c>
      <c r="H156" s="12">
        <f>IF(C156="Y", 55.439, 35.439)</f>
        <v/>
      </c>
      <c r="I156" s="4">
        <f>IF(B156&gt;F156, "SHIPMENT NEEDED!", "OK")</f>
        <v/>
      </c>
    </row>
    <row r="157">
      <c r="A157" s="4" t="inlineStr">
        <is>
          <t>FN7</t>
        </is>
      </c>
      <c r="B157" s="7" t="n">
        <v>500</v>
      </c>
      <c r="C157" s="8" t="inlineStr">
        <is>
          <t>N</t>
        </is>
      </c>
      <c r="D157" s="9">
        <f>$B$145*$B$148</f>
        <v/>
      </c>
      <c r="E157" s="10">
        <f>D157*0.2</f>
        <v/>
      </c>
      <c r="F157" s="9">
        <f>$B$146</f>
        <v/>
      </c>
      <c r="G157" s="11">
        <f>MIN(B157, IF(C157="Y", D157+E157, D157), F157)</f>
        <v/>
      </c>
      <c r="H157" s="12">
        <f>IF(C157="Y", 55.439, 35.439)</f>
        <v/>
      </c>
      <c r="I157" s="4">
        <f>IF(B157&gt;F157, "SHIPMENT NEEDED!", "OK")</f>
        <v/>
      </c>
    </row>
    <row r="158">
      <c r="A158" s="4" t="inlineStr">
        <is>
          <t>FN8</t>
        </is>
      </c>
      <c r="B158" s="7" t="n">
        <v>500</v>
      </c>
      <c r="C158" s="8" t="inlineStr">
        <is>
          <t>N</t>
        </is>
      </c>
      <c r="D158" s="9">
        <f>$B$145*$B$148</f>
        <v/>
      </c>
      <c r="E158" s="10">
        <f>D158*0.2</f>
        <v/>
      </c>
      <c r="F158" s="9">
        <f>$B$146</f>
        <v/>
      </c>
      <c r="G158" s="11">
        <f>MIN(B158, IF(C158="Y", D158+E158, D158), F158)</f>
        <v/>
      </c>
      <c r="H158" s="12">
        <f>IF(C158="Y", 55.439, 35.439)</f>
        <v/>
      </c>
      <c r="I158" s="4">
        <f>IF(B158&gt;F158, "SHIPMENT NEEDED!", "OK")</f>
        <v/>
      </c>
    </row>
    <row r="159">
      <c r="A159" s="13" t="inlineStr">
        <is>
          <t>TOTAL</t>
        </is>
      </c>
      <c r="B159" s="14">
        <f>SUM(B151:B158)</f>
        <v/>
      </c>
      <c r="G159" s="15">
        <f>SUM(G151:G158)</f>
        <v/>
      </c>
    </row>
  </sheetData>
  <mergeCells count="5">
    <mergeCell ref="A74:J74"/>
    <mergeCell ref="A144:J144"/>
    <mergeCell ref="A39:J39"/>
    <mergeCell ref="A109:J109"/>
    <mergeCell ref="A4:J4"/>
  </mergeCells>
  <conditionalFormatting sqref="G11:G18">
    <cfRule type="expression" priority="1" dxfId="0" stopIfTrue="1">
      <formula>G11&lt;B11</formula>
    </cfRule>
  </conditionalFormatting>
  <conditionalFormatting sqref="H11:H18">
    <cfRule type="expression" priority="2" dxfId="1">
      <formula>H11&gt;35.439</formula>
    </cfRule>
  </conditionalFormatting>
  <conditionalFormatting sqref="G46:G53">
    <cfRule type="expression" priority="3" dxfId="0" stopIfTrue="1">
      <formula>G46&lt;B46</formula>
    </cfRule>
  </conditionalFormatting>
  <conditionalFormatting sqref="H46:H53">
    <cfRule type="expression" priority="4" dxfId="1">
      <formula>H46&gt;35.439</formula>
    </cfRule>
  </conditionalFormatting>
  <conditionalFormatting sqref="G81:G88">
    <cfRule type="expression" priority="5" dxfId="0" stopIfTrue="1">
      <formula>G81&lt;B81</formula>
    </cfRule>
  </conditionalFormatting>
  <conditionalFormatting sqref="H81:H88">
    <cfRule type="expression" priority="6" dxfId="1">
      <formula>H81&gt;35.439</formula>
    </cfRule>
  </conditionalFormatting>
  <conditionalFormatting sqref="G116:G123">
    <cfRule type="expression" priority="7" dxfId="0" stopIfTrue="1">
      <formula>G116&lt;B116</formula>
    </cfRule>
  </conditionalFormatting>
  <conditionalFormatting sqref="H116:H123">
    <cfRule type="expression" priority="8" dxfId="1">
      <formula>H116&gt;35.439</formula>
    </cfRule>
  </conditionalFormatting>
  <conditionalFormatting sqref="G151:G158">
    <cfRule type="expression" priority="9" dxfId="0" stopIfTrue="1">
      <formula>G151&lt;B151</formula>
    </cfRule>
  </conditionalFormatting>
  <conditionalFormatting sqref="H151:H158">
    <cfRule type="expression" priority="10" dxfId="1">
      <formula>H151&gt;35.439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RESOURCE MANAGER - Zone-by-Zone Asset Allocation</t>
        </is>
      </c>
    </row>
    <row r="3">
      <c r="A3" s="24" t="inlineStr">
        <is>
          <t>SECTION A: MACHINE ASSIGNMENTS BY ZONE</t>
        </is>
      </c>
    </row>
    <row r="5">
      <c r="A5" s="25" t="inlineStr">
        <is>
          <t>Zone</t>
        </is>
      </c>
      <c r="B5" s="25" t="inlineStr">
        <is>
          <t>Section</t>
        </is>
      </c>
      <c r="C5" s="25" t="inlineStr">
        <is>
          <t>Machines Assigned</t>
        </is>
      </c>
      <c r="D5" s="25" t="inlineStr">
        <is>
          <t>Workers Needed</t>
        </is>
      </c>
      <c r="E5" s="25" t="inlineStr">
        <is>
          <t>Status</t>
        </is>
      </c>
    </row>
    <row r="6">
      <c r="A6" s="26" t="inlineStr">
        <is>
          <t>Center</t>
        </is>
      </c>
      <c r="B6" s="4" t="inlineStr">
        <is>
          <t>Section 1</t>
        </is>
      </c>
      <c r="C6" s="7" t="n">
        <v>20</v>
      </c>
      <c r="D6" s="9">
        <f>C6*5</f>
        <v/>
      </c>
      <c r="E6" s="27" t="inlineStr">
        <is>
          <t>OK</t>
        </is>
      </c>
    </row>
    <row r="7">
      <c r="A7" s="26" t="inlineStr">
        <is>
          <t>Center</t>
        </is>
      </c>
      <c r="B7" s="4" t="inlineStr">
        <is>
          <t>Section 2</t>
        </is>
      </c>
      <c r="C7" s="7" t="n">
        <v>20</v>
      </c>
      <c r="D7" s="9">
        <f>C7*5</f>
        <v/>
      </c>
      <c r="E7" s="27" t="inlineStr">
        <is>
          <t>OK</t>
        </is>
      </c>
    </row>
    <row r="8">
      <c r="A8" s="26" t="inlineStr">
        <is>
          <t>Center</t>
        </is>
      </c>
      <c r="B8" s="4" t="inlineStr">
        <is>
          <t>Section 3</t>
        </is>
      </c>
      <c r="C8" s="7" t="n">
        <v>17</v>
      </c>
      <c r="D8" s="9">
        <f>C8*5</f>
        <v/>
      </c>
      <c r="E8" s="27" t="inlineStr">
        <is>
          <t>OK</t>
        </is>
      </c>
    </row>
    <row r="9">
      <c r="A9" s="26" t="inlineStr">
        <is>
          <t>Center</t>
        </is>
      </c>
      <c r="B9" s="4" t="inlineStr">
        <is>
          <t>Section 4</t>
        </is>
      </c>
      <c r="C9" s="7" t="n">
        <v>10</v>
      </c>
      <c r="D9" s="9">
        <f>C9*5</f>
        <v/>
      </c>
      <c r="E9" s="27" t="inlineStr">
        <is>
          <t>OK</t>
        </is>
      </c>
    </row>
    <row r="10">
      <c r="A10" s="26" t="inlineStr">
        <is>
          <t>Center</t>
        </is>
      </c>
      <c r="B10" s="4" t="inlineStr">
        <is>
          <t>Section 5</t>
        </is>
      </c>
      <c r="C10" s="7" t="n">
        <v>10</v>
      </c>
      <c r="D10" s="9">
        <f>C10*5</f>
        <v/>
      </c>
      <c r="E10" s="27" t="inlineStr">
        <is>
          <t>OK</t>
        </is>
      </c>
    </row>
    <row r="11">
      <c r="A11" s="28" t="inlineStr">
        <is>
          <t>West</t>
        </is>
      </c>
      <c r="B11" s="4" t="inlineStr">
        <is>
          <t>Section 1</t>
        </is>
      </c>
      <c r="C11" s="7" t="n">
        <v>0</v>
      </c>
      <c r="D11" s="9">
        <f>C11*5</f>
        <v/>
      </c>
      <c r="E11" s="27" t="inlineStr">
        <is>
          <t>OK</t>
        </is>
      </c>
    </row>
    <row r="12">
      <c r="A12" s="28" t="inlineStr">
        <is>
          <t>West</t>
        </is>
      </c>
      <c r="B12" s="4" t="inlineStr">
        <is>
          <t>Section 2</t>
        </is>
      </c>
      <c r="C12" s="7" t="n">
        <v>0</v>
      </c>
      <c r="D12" s="9">
        <f>C12*5</f>
        <v/>
      </c>
      <c r="E12" s="27" t="inlineStr">
        <is>
          <t>OK</t>
        </is>
      </c>
    </row>
    <row r="13">
      <c r="A13" s="28" t="inlineStr">
        <is>
          <t>West</t>
        </is>
      </c>
      <c r="B13" s="4" t="inlineStr">
        <is>
          <t>Section 3</t>
        </is>
      </c>
      <c r="C13" s="7" t="n">
        <v>0</v>
      </c>
      <c r="D13" s="9">
        <f>C13*5</f>
        <v/>
      </c>
      <c r="E13" s="27" t="inlineStr">
        <is>
          <t>OK</t>
        </is>
      </c>
    </row>
    <row r="14">
      <c r="A14" s="28" t="inlineStr">
        <is>
          <t>West</t>
        </is>
      </c>
      <c r="B14" s="4" t="inlineStr">
        <is>
          <t>Section 4</t>
        </is>
      </c>
      <c r="C14" s="7" t="n">
        <v>0</v>
      </c>
      <c r="D14" s="9">
        <f>C14*5</f>
        <v/>
      </c>
      <c r="E14" s="27" t="inlineStr">
        <is>
          <t>OK</t>
        </is>
      </c>
    </row>
    <row r="15">
      <c r="A15" s="28" t="inlineStr">
        <is>
          <t>West</t>
        </is>
      </c>
      <c r="B15" s="4" t="inlineStr">
        <is>
          <t>Section 5</t>
        </is>
      </c>
      <c r="C15" s="7" t="n">
        <v>0</v>
      </c>
      <c r="D15" s="9">
        <f>C15*5</f>
        <v/>
      </c>
      <c r="E15" s="27" t="inlineStr">
        <is>
          <t>OK</t>
        </is>
      </c>
    </row>
    <row r="16">
      <c r="A16" s="29" t="inlineStr">
        <is>
          <t>North</t>
        </is>
      </c>
      <c r="B16" s="4" t="inlineStr">
        <is>
          <t>Section 1</t>
        </is>
      </c>
      <c r="C16" s="7" t="n">
        <v>0</v>
      </c>
      <c r="D16" s="9">
        <f>C16*5</f>
        <v/>
      </c>
      <c r="E16" s="27" t="inlineStr">
        <is>
          <t>OK</t>
        </is>
      </c>
    </row>
    <row r="17">
      <c r="A17" s="29" t="inlineStr">
        <is>
          <t>North</t>
        </is>
      </c>
      <c r="B17" s="4" t="inlineStr">
        <is>
          <t>Section 2</t>
        </is>
      </c>
      <c r="C17" s="7" t="n">
        <v>0</v>
      </c>
      <c r="D17" s="9">
        <f>C17*5</f>
        <v/>
      </c>
      <c r="E17" s="27" t="inlineStr">
        <is>
          <t>OK</t>
        </is>
      </c>
    </row>
    <row r="18">
      <c r="A18" s="29" t="inlineStr">
        <is>
          <t>North</t>
        </is>
      </c>
      <c r="B18" s="4" t="inlineStr">
        <is>
          <t>Section 3</t>
        </is>
      </c>
      <c r="C18" s="7" t="n">
        <v>0</v>
      </c>
      <c r="D18" s="9">
        <f>C18*5</f>
        <v/>
      </c>
      <c r="E18" s="27" t="inlineStr">
        <is>
          <t>OK</t>
        </is>
      </c>
    </row>
    <row r="19">
      <c r="A19" s="29" t="inlineStr">
        <is>
          <t>North</t>
        </is>
      </c>
      <c r="B19" s="4" t="inlineStr">
        <is>
          <t>Section 4</t>
        </is>
      </c>
      <c r="C19" s="7" t="n">
        <v>0</v>
      </c>
      <c r="D19" s="9">
        <f>C19*5</f>
        <v/>
      </c>
      <c r="E19" s="27" t="inlineStr">
        <is>
          <t>OK</t>
        </is>
      </c>
    </row>
    <row r="20">
      <c r="A20" s="29" t="inlineStr">
        <is>
          <t>North</t>
        </is>
      </c>
      <c r="B20" s="4" t="inlineStr">
        <is>
          <t>Section 5</t>
        </is>
      </c>
      <c r="C20" s="7" t="n">
        <v>0</v>
      </c>
      <c r="D20" s="9">
        <f>C20*5</f>
        <v/>
      </c>
      <c r="E20" s="27" t="inlineStr">
        <is>
          <t>OK</t>
        </is>
      </c>
    </row>
    <row r="21">
      <c r="A21" s="30" t="inlineStr">
        <is>
          <t>East</t>
        </is>
      </c>
      <c r="B21" s="4" t="inlineStr">
        <is>
          <t>Section 1</t>
        </is>
      </c>
      <c r="C21" s="7" t="n">
        <v>0</v>
      </c>
      <c r="D21" s="9">
        <f>C21*5</f>
        <v/>
      </c>
      <c r="E21" s="27" t="inlineStr">
        <is>
          <t>OK</t>
        </is>
      </c>
    </row>
    <row r="22">
      <c r="A22" s="30" t="inlineStr">
        <is>
          <t>East</t>
        </is>
      </c>
      <c r="B22" s="4" t="inlineStr">
        <is>
          <t>Section 2</t>
        </is>
      </c>
      <c r="C22" s="7" t="n">
        <v>0</v>
      </c>
      <c r="D22" s="9">
        <f>C22*5</f>
        <v/>
      </c>
      <c r="E22" s="27" t="inlineStr">
        <is>
          <t>OK</t>
        </is>
      </c>
    </row>
    <row r="23">
      <c r="A23" s="30" t="inlineStr">
        <is>
          <t>East</t>
        </is>
      </c>
      <c r="B23" s="4" t="inlineStr">
        <is>
          <t>Section 3</t>
        </is>
      </c>
      <c r="C23" s="7" t="n">
        <v>0</v>
      </c>
      <c r="D23" s="9">
        <f>C23*5</f>
        <v/>
      </c>
      <c r="E23" s="27" t="inlineStr">
        <is>
          <t>OK</t>
        </is>
      </c>
    </row>
    <row r="24">
      <c r="A24" s="30" t="inlineStr">
        <is>
          <t>East</t>
        </is>
      </c>
      <c r="B24" s="4" t="inlineStr">
        <is>
          <t>Section 4</t>
        </is>
      </c>
      <c r="C24" s="7" t="n">
        <v>0</v>
      </c>
      <c r="D24" s="9">
        <f>C24*5</f>
        <v/>
      </c>
      <c r="E24" s="27" t="inlineStr">
        <is>
          <t>OK</t>
        </is>
      </c>
    </row>
    <row r="25">
      <c r="A25" s="30" t="inlineStr">
        <is>
          <t>East</t>
        </is>
      </c>
      <c r="B25" s="4" t="inlineStr">
        <is>
          <t>Section 5</t>
        </is>
      </c>
      <c r="C25" s="7" t="n">
        <v>0</v>
      </c>
      <c r="D25" s="9">
        <f>C25*5</f>
        <v/>
      </c>
      <c r="E25" s="27" t="inlineStr">
        <is>
          <t>OK</t>
        </is>
      </c>
    </row>
    <row r="26">
      <c r="A26" s="31" t="inlineStr">
        <is>
          <t>South</t>
        </is>
      </c>
      <c r="B26" s="4" t="inlineStr">
        <is>
          <t>Section 1</t>
        </is>
      </c>
      <c r="C26" s="7" t="n">
        <v>0</v>
      </c>
      <c r="D26" s="9">
        <f>C26*5</f>
        <v/>
      </c>
      <c r="E26" s="27" t="inlineStr">
        <is>
          <t>OK</t>
        </is>
      </c>
    </row>
    <row r="27">
      <c r="A27" s="31" t="inlineStr">
        <is>
          <t>South</t>
        </is>
      </c>
      <c r="B27" s="4" t="inlineStr">
        <is>
          <t>Section 2</t>
        </is>
      </c>
      <c r="C27" s="7" t="n">
        <v>0</v>
      </c>
      <c r="D27" s="9">
        <f>C27*5</f>
        <v/>
      </c>
      <c r="E27" s="27" t="inlineStr">
        <is>
          <t>OK</t>
        </is>
      </c>
    </row>
    <row r="28">
      <c r="A28" s="31" t="inlineStr">
        <is>
          <t>South</t>
        </is>
      </c>
      <c r="B28" s="4" t="inlineStr">
        <is>
          <t>Section 3</t>
        </is>
      </c>
      <c r="C28" s="7" t="n">
        <v>0</v>
      </c>
      <c r="D28" s="9">
        <f>C28*5</f>
        <v/>
      </c>
      <c r="E28" s="27" t="inlineStr">
        <is>
          <t>OK</t>
        </is>
      </c>
    </row>
    <row r="29">
      <c r="A29" s="31" t="inlineStr">
        <is>
          <t>South</t>
        </is>
      </c>
      <c r="B29" s="4" t="inlineStr">
        <is>
          <t>Section 4</t>
        </is>
      </c>
      <c r="C29" s="7" t="n">
        <v>0</v>
      </c>
      <c r="D29" s="9">
        <f>C29*5</f>
        <v/>
      </c>
      <c r="E29" s="27" t="inlineStr">
        <is>
          <t>OK</t>
        </is>
      </c>
    </row>
    <row r="30">
      <c r="A30" s="31" t="inlineStr">
        <is>
          <t>South</t>
        </is>
      </c>
      <c r="B30" s="4" t="inlineStr">
        <is>
          <t>Section 5</t>
        </is>
      </c>
      <c r="C30" s="7" t="n">
        <v>0</v>
      </c>
      <c r="D30" s="9">
        <f>C30*5</f>
        <v/>
      </c>
      <c r="E30" s="27" t="inlineStr">
        <is>
          <t>OK</t>
        </is>
      </c>
    </row>
    <row r="34">
      <c r="A34" s="24" t="inlineStr">
        <is>
          <t>SECTION B: EXPANSION RECOMMENDATIONS BY ZONE</t>
        </is>
      </c>
    </row>
    <row r="36">
      <c r="A36" s="25" t="inlineStr">
        <is>
          <t>Zone</t>
        </is>
      </c>
      <c r="B36" s="25" t="inlineStr">
        <is>
          <t>Target Capacity</t>
        </is>
      </c>
      <c r="C36" s="25" t="inlineStr">
        <is>
          <t>Current Machines</t>
        </is>
      </c>
      <c r="D36" s="25" t="inlineStr">
        <is>
          <t>Capacity Gap</t>
        </is>
      </c>
      <c r="E36" s="25" t="inlineStr">
        <is>
          <t>Recommendation</t>
        </is>
      </c>
    </row>
    <row r="37">
      <c r="A37" s="26" t="inlineStr">
        <is>
          <t>Center</t>
        </is>
      </c>
      <c r="B37" s="5">
        <f>'ZONE CALCULATORS'!B19</f>
        <v/>
      </c>
      <c r="C37" s="4" t="n">
        <v>759578</v>
      </c>
      <c r="D37" s="9">
        <f>B37-(C37*200)</f>
        <v/>
      </c>
      <c r="E37" s="32">
        <f>IF(D37&gt;0, "M1 Opt: "&amp;ROUNDUP(D37/200,0)&amp;" @ $10.6k ea | " &amp;"M3 Opt: "&amp;ROUNDUP(D37/1000,0)&amp;" @ $155.4k ea", "OK")</f>
        <v/>
      </c>
    </row>
    <row r="38">
      <c r="A38" s="28" t="inlineStr">
        <is>
          <t>West</t>
        </is>
      </c>
      <c r="B38" s="5">
        <f>'ZONE CALCULATORS'!B54</f>
        <v/>
      </c>
      <c r="C38" s="4" t="n">
        <v>86</v>
      </c>
      <c r="D38" s="9">
        <f>B38-(C38*200)</f>
        <v/>
      </c>
      <c r="E38" s="32">
        <f>IF(D38&gt;0, "M1 Opt: "&amp;ROUNDUP(D38/200,0)&amp;" @ $10.6k ea | " &amp;"M3 Opt: "&amp;ROUNDUP(D38/1000,0)&amp;" @ $155.4k ea", "OK")</f>
        <v/>
      </c>
    </row>
    <row r="39">
      <c r="A39" s="29" t="inlineStr">
        <is>
          <t>North</t>
        </is>
      </c>
      <c r="B39" s="5">
        <f>'ZONE CALCULATORS'!B89</f>
        <v/>
      </c>
      <c r="C39" s="4" t="n">
        <v>78</v>
      </c>
      <c r="D39" s="9">
        <f>B39-(C39*200)</f>
        <v/>
      </c>
      <c r="E39" s="32">
        <f>IF(D39&gt;0, "M1 Opt: "&amp;ROUNDUP(D39/200,0)&amp;" @ $10.6k ea | " &amp;"M3 Opt: "&amp;ROUNDUP(D39/1000,0)&amp;" @ $155.4k ea", "OK")</f>
        <v/>
      </c>
    </row>
    <row r="40">
      <c r="A40" s="30" t="inlineStr">
        <is>
          <t>East</t>
        </is>
      </c>
      <c r="B40" s="5">
        <f>'ZONE CALCULATORS'!B124</f>
        <v/>
      </c>
      <c r="C40" s="4" t="n">
        <v>78</v>
      </c>
      <c r="D40" s="9">
        <f>B40-(C40*200)</f>
        <v/>
      </c>
      <c r="E40" s="32">
        <f>IF(D40&gt;0, "M1 Opt: "&amp;ROUNDUP(D40/200,0)&amp;" @ $10.6k ea | " &amp;"M3 Opt: "&amp;ROUNDUP(D40/1000,0)&amp;" @ $155.4k ea", "OK")</f>
        <v/>
      </c>
    </row>
    <row r="41">
      <c r="A41" s="31" t="inlineStr">
        <is>
          <t>South</t>
        </is>
      </c>
      <c r="B41" s="5">
        <f>'ZONE CALCULATORS'!B159</f>
        <v/>
      </c>
      <c r="C41" s="4" t="n">
        <v>60390</v>
      </c>
      <c r="D41" s="9">
        <f>B41-(C41*200)</f>
        <v/>
      </c>
      <c r="E41" s="32">
        <f>IF(D41&gt;0, "M1 Opt: "&amp;ROUNDUP(D41/200,0)&amp;" @ $10.6k ea | " &amp;"M3 Opt: "&amp;ROUNDUP(D41/1000,0)&amp;" @ $155.4k ea", "OK")</f>
        <v/>
      </c>
    </row>
    <row r="45">
      <c r="A45" s="24" t="inlineStr">
        <is>
          <t>SECTION C: REAL ESTATE (MODULES) BY ZONE</t>
        </is>
      </c>
    </row>
    <row r="47">
      <c r="A47" s="25" t="inlineStr">
        <is>
          <t>Zone</t>
        </is>
      </c>
      <c r="B47" s="25" t="inlineStr">
        <is>
          <t>Machines</t>
        </is>
      </c>
      <c r="C47" s="25" t="inlineStr">
        <is>
          <t>Module Slots</t>
        </is>
      </c>
      <c r="D47" s="25" t="inlineStr">
        <is>
          <t>Free Slots</t>
        </is>
      </c>
      <c r="E47" s="25" t="inlineStr">
        <is>
          <t>Recommendation</t>
        </is>
      </c>
    </row>
    <row r="48">
      <c r="A48" s="26" t="inlineStr">
        <is>
          <t>Center</t>
        </is>
      </c>
      <c r="B48" s="4" t="n">
        <v>759578</v>
      </c>
      <c r="C48" s="4" t="n">
        <v>0</v>
      </c>
      <c r="D48" s="9">
        <f>C48-B48</f>
        <v/>
      </c>
      <c r="E48" s="27">
        <f>IF(D48&lt;5, "Buy module in Center", "OK")</f>
        <v/>
      </c>
    </row>
    <row r="49">
      <c r="A49" s="28" t="inlineStr">
        <is>
          <t>West</t>
        </is>
      </c>
      <c r="B49" s="4" t="n">
        <v>86</v>
      </c>
      <c r="C49" s="4" t="n">
        <v>0</v>
      </c>
      <c r="D49" s="9">
        <f>C49-B49</f>
        <v/>
      </c>
      <c r="E49" s="27">
        <f>IF(D49&lt;5, "Buy module in West", "OK")</f>
        <v/>
      </c>
    </row>
    <row r="50">
      <c r="A50" s="29" t="inlineStr">
        <is>
          <t>North</t>
        </is>
      </c>
      <c r="B50" s="4" t="n">
        <v>78</v>
      </c>
      <c r="C50" s="4" t="n">
        <v>0</v>
      </c>
      <c r="D50" s="9">
        <f>C50-B50</f>
        <v/>
      </c>
      <c r="E50" s="27">
        <f>IF(D50&lt;5, "Buy module in North", "OK")</f>
        <v/>
      </c>
    </row>
    <row r="51">
      <c r="A51" s="30" t="inlineStr">
        <is>
          <t>East</t>
        </is>
      </c>
      <c r="B51" s="4" t="n">
        <v>78</v>
      </c>
      <c r="C51" s="4" t="n">
        <v>0</v>
      </c>
      <c r="D51" s="9">
        <f>C51-B51</f>
        <v/>
      </c>
      <c r="E51" s="27">
        <f>IF(D51&lt;5, "Buy module in East", "OK")</f>
        <v/>
      </c>
    </row>
    <row r="52">
      <c r="A52" s="31" t="inlineStr">
        <is>
          <t>South</t>
        </is>
      </c>
      <c r="B52" s="4" t="n">
        <v>60390</v>
      </c>
      <c r="C52" s="4" t="n">
        <v>0</v>
      </c>
      <c r="D52" s="9">
        <f>C52-B52</f>
        <v/>
      </c>
      <c r="E52" s="27">
        <f>IF(D52&lt;5, "Buy module in South", 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PRODUCTION DECISIONS - ExSim Upload (Zone-Mapped)</t>
        </is>
      </c>
    </row>
    <row r="2">
      <c r="A2" s="2" t="inlineStr">
        <is>
          <t>Values linked from Zone Calculators</t>
        </is>
      </c>
    </row>
    <row r="4">
      <c r="A4" s="24" t="inlineStr">
        <is>
          <t>Production Targets</t>
        </is>
      </c>
    </row>
    <row r="5">
      <c r="A5" s="25" t="inlineStr">
        <is>
          <t>Zone</t>
        </is>
      </c>
      <c r="B5" s="25" t="inlineStr">
        <is>
          <t>Product</t>
        </is>
      </c>
      <c r="C5" s="25" t="inlineStr">
        <is>
          <t>Target</t>
        </is>
      </c>
      <c r="D5" s="25" t="inlineStr">
        <is>
          <t>Overtime</t>
        </is>
      </c>
    </row>
    <row r="6">
      <c r="A6" s="26" t="inlineStr">
        <is>
          <t>Center</t>
        </is>
      </c>
      <c r="B6" s="4" t="inlineStr">
        <is>
          <t>A</t>
        </is>
      </c>
      <c r="C6" s="9">
        <f>'ZONE CALCULATORS'!G19</f>
        <v/>
      </c>
      <c r="D6" s="9">
        <f>'ZONE CALCULATORS'!C11</f>
        <v/>
      </c>
    </row>
    <row r="7">
      <c r="A7" s="28" t="inlineStr">
        <is>
          <t>West</t>
        </is>
      </c>
      <c r="B7" s="4" t="inlineStr">
        <is>
          <t>A</t>
        </is>
      </c>
      <c r="C7" s="9">
        <f>'ZONE CALCULATORS'!G54</f>
        <v/>
      </c>
      <c r="D7" s="9">
        <f>'ZONE CALCULATORS'!C46</f>
        <v/>
      </c>
    </row>
    <row r="8">
      <c r="A8" s="29" t="inlineStr">
        <is>
          <t>North</t>
        </is>
      </c>
      <c r="B8" s="4" t="inlineStr">
        <is>
          <t>A</t>
        </is>
      </c>
      <c r="C8" s="9">
        <f>'ZONE CALCULATORS'!G89</f>
        <v/>
      </c>
      <c r="D8" s="9">
        <f>'ZONE CALCULATORS'!C81</f>
        <v/>
      </c>
    </row>
    <row r="9">
      <c r="A9" s="30" t="inlineStr">
        <is>
          <t>East</t>
        </is>
      </c>
      <c r="B9" s="4" t="inlineStr">
        <is>
          <t>A</t>
        </is>
      </c>
      <c r="C9" s="9">
        <f>'ZONE CALCULATORS'!G124</f>
        <v/>
      </c>
      <c r="D9" s="9">
        <f>'ZONE CALCULATORS'!C116</f>
        <v/>
      </c>
    </row>
    <row r="10">
      <c r="A10" s="31" t="inlineStr">
        <is>
          <t>South</t>
        </is>
      </c>
      <c r="B10" s="4" t="inlineStr">
        <is>
          <t>A</t>
        </is>
      </c>
      <c r="C10" s="9">
        <f>'ZONE CALCULATORS'!G159</f>
        <v/>
      </c>
      <c r="D10" s="9">
        <f>'ZONE CALCULATORS'!C151</f>
        <v/>
      </c>
    </row>
    <row r="13">
      <c r="A13" s="24" t="inlineStr">
        <is>
          <t>Machine Purchases</t>
        </is>
      </c>
    </row>
    <row r="14">
      <c r="A14" s="25" t="inlineStr">
        <is>
          <t>Zone</t>
        </is>
      </c>
      <c r="B14" s="25" t="inlineStr">
        <is>
          <t>Machine Type</t>
        </is>
      </c>
      <c r="C14" s="25" t="inlineStr">
        <is>
          <t>Quantity</t>
        </is>
      </c>
    </row>
    <row r="15">
      <c r="A15" s="26" t="inlineStr">
        <is>
          <t>Center</t>
        </is>
      </c>
      <c r="B15" s="4" t="inlineStr">
        <is>
          <t>M1</t>
        </is>
      </c>
      <c r="C15" s="7" t="n">
        <v>0</v>
      </c>
    </row>
    <row r="16">
      <c r="A16" s="26" t="inlineStr">
        <is>
          <t>Center</t>
        </is>
      </c>
      <c r="B16" s="4" t="inlineStr">
        <is>
          <t>M2</t>
        </is>
      </c>
      <c r="C16" s="7" t="n">
        <v>0</v>
      </c>
    </row>
    <row r="17">
      <c r="A17" s="28" t="inlineStr">
        <is>
          <t>West</t>
        </is>
      </c>
      <c r="B17" s="4" t="inlineStr">
        <is>
          <t>M1</t>
        </is>
      </c>
      <c r="C17" s="7" t="n">
        <v>0</v>
      </c>
    </row>
    <row r="18">
      <c r="A18" s="28" t="inlineStr">
        <is>
          <t>West</t>
        </is>
      </c>
      <c r="B18" s="4" t="inlineStr">
        <is>
          <t>M2</t>
        </is>
      </c>
      <c r="C18" s="7" t="n">
        <v>0</v>
      </c>
    </row>
    <row r="19">
      <c r="A19" s="29" t="inlineStr">
        <is>
          <t>North</t>
        </is>
      </c>
      <c r="B19" s="4" t="inlineStr">
        <is>
          <t>M1</t>
        </is>
      </c>
      <c r="C19" s="7" t="n">
        <v>0</v>
      </c>
    </row>
    <row r="20">
      <c r="A20" s="29" t="inlineStr">
        <is>
          <t>North</t>
        </is>
      </c>
      <c r="B20" s="4" t="inlineStr">
        <is>
          <t>M2</t>
        </is>
      </c>
      <c r="C20" s="7" t="n">
        <v>0</v>
      </c>
    </row>
    <row r="21">
      <c r="A21" s="30" t="inlineStr">
        <is>
          <t>East</t>
        </is>
      </c>
      <c r="B21" s="4" t="inlineStr">
        <is>
          <t>M1</t>
        </is>
      </c>
      <c r="C21" s="7" t="n">
        <v>0</v>
      </c>
    </row>
    <row r="22">
      <c r="A22" s="30" t="inlineStr">
        <is>
          <t>East</t>
        </is>
      </c>
      <c r="B22" s="4" t="inlineStr">
        <is>
          <t>M2</t>
        </is>
      </c>
      <c r="C22" s="7" t="n">
        <v>0</v>
      </c>
    </row>
    <row r="23">
      <c r="A23" s="31" t="inlineStr">
        <is>
          <t>South</t>
        </is>
      </c>
      <c r="B23" s="4" t="inlineStr">
        <is>
          <t>M1</t>
        </is>
      </c>
      <c r="C23" s="7" t="n">
        <v>0</v>
      </c>
    </row>
    <row r="24">
      <c r="A24" s="31" t="inlineStr">
        <is>
          <t>South</t>
        </is>
      </c>
      <c r="B24" s="4" t="inlineStr">
        <is>
          <t>M2</t>
        </is>
      </c>
      <c r="C24" s="7" t="n">
        <v>0</v>
      </c>
    </row>
    <row r="27">
      <c r="A27" s="24" t="inlineStr">
        <is>
          <t>Section Assignments</t>
        </is>
      </c>
    </row>
    <row r="28">
      <c r="A28" s="25" t="inlineStr">
        <is>
          <t>Zone</t>
        </is>
      </c>
      <c r="B28" s="25" t="inlineStr">
        <is>
          <t>Section</t>
        </is>
      </c>
      <c r="C28" s="25" t="inlineStr">
        <is>
          <t>Machines</t>
        </is>
      </c>
      <c r="D28" s="25" t="inlineStr">
        <is>
          <t>Workers</t>
        </is>
      </c>
    </row>
    <row r="29">
      <c r="A29" s="26" t="inlineStr">
        <is>
          <t>Center</t>
        </is>
      </c>
      <c r="B29" s="4" t="inlineStr">
        <is>
          <t>Section 1</t>
        </is>
      </c>
      <c r="C29" s="9">
        <f>'RESOURCE MGR'!C6</f>
        <v/>
      </c>
      <c r="D29" s="9">
        <f>'RESOURCE MGR'!D6</f>
        <v/>
      </c>
    </row>
    <row r="30">
      <c r="A30" s="26" t="inlineStr">
        <is>
          <t>Center</t>
        </is>
      </c>
      <c r="B30" s="4" t="inlineStr">
        <is>
          <t>Section 2</t>
        </is>
      </c>
      <c r="C30" s="9">
        <f>'RESOURCE MGR'!C7</f>
        <v/>
      </c>
      <c r="D30" s="9">
        <f>'RESOURCE MGR'!D7</f>
        <v/>
      </c>
    </row>
    <row r="31">
      <c r="A31" s="26" t="inlineStr">
        <is>
          <t>Center</t>
        </is>
      </c>
      <c r="B31" s="4" t="inlineStr">
        <is>
          <t>Section 3</t>
        </is>
      </c>
      <c r="C31" s="9">
        <f>'RESOURCE MGR'!C8</f>
        <v/>
      </c>
      <c r="D31" s="9">
        <f>'RESOURCE MGR'!D8</f>
        <v/>
      </c>
    </row>
    <row r="32">
      <c r="A32" s="26" t="inlineStr">
        <is>
          <t>Center</t>
        </is>
      </c>
      <c r="B32" s="4" t="inlineStr">
        <is>
          <t>Section 4</t>
        </is>
      </c>
      <c r="C32" s="9">
        <f>'RESOURCE MGR'!C9</f>
        <v/>
      </c>
      <c r="D32" s="9">
        <f>'RESOURCE MGR'!D9</f>
        <v/>
      </c>
    </row>
    <row r="33">
      <c r="A33" s="26" t="inlineStr">
        <is>
          <t>Center</t>
        </is>
      </c>
      <c r="B33" s="4" t="inlineStr">
        <is>
          <t>Section 5</t>
        </is>
      </c>
      <c r="C33" s="9">
        <f>'RESOURCE MGR'!C10</f>
        <v/>
      </c>
      <c r="D33" s="9">
        <f>'RESOURCE MGR'!D10</f>
        <v/>
      </c>
    </row>
    <row r="34">
      <c r="A34" s="28" t="inlineStr">
        <is>
          <t>West</t>
        </is>
      </c>
      <c r="B34" s="4" t="inlineStr">
        <is>
          <t>Section 1</t>
        </is>
      </c>
      <c r="C34" s="9">
        <f>'RESOURCE MGR'!C11</f>
        <v/>
      </c>
      <c r="D34" s="9">
        <f>'RESOURCE MGR'!D11</f>
        <v/>
      </c>
    </row>
    <row r="35">
      <c r="A35" s="28" t="inlineStr">
        <is>
          <t>West</t>
        </is>
      </c>
      <c r="B35" s="4" t="inlineStr">
        <is>
          <t>Section 2</t>
        </is>
      </c>
      <c r="C35" s="9">
        <f>'RESOURCE MGR'!C12</f>
        <v/>
      </c>
      <c r="D35" s="9">
        <f>'RESOURCE MGR'!D12</f>
        <v/>
      </c>
    </row>
    <row r="36">
      <c r="A36" s="28" t="inlineStr">
        <is>
          <t>West</t>
        </is>
      </c>
      <c r="B36" s="4" t="inlineStr">
        <is>
          <t>Section 3</t>
        </is>
      </c>
      <c r="C36" s="9">
        <f>'RESOURCE MGR'!C13</f>
        <v/>
      </c>
      <c r="D36" s="9">
        <f>'RESOURCE MGR'!D13</f>
        <v/>
      </c>
    </row>
    <row r="37">
      <c r="A37" s="28" t="inlineStr">
        <is>
          <t>West</t>
        </is>
      </c>
      <c r="B37" s="4" t="inlineStr">
        <is>
          <t>Section 4</t>
        </is>
      </c>
      <c r="C37" s="9">
        <f>'RESOURCE MGR'!C14</f>
        <v/>
      </c>
      <c r="D37" s="9">
        <f>'RESOURCE MGR'!D14</f>
        <v/>
      </c>
    </row>
    <row r="38">
      <c r="A38" s="28" t="inlineStr">
        <is>
          <t>West</t>
        </is>
      </c>
      <c r="B38" s="4" t="inlineStr">
        <is>
          <t>Section 5</t>
        </is>
      </c>
      <c r="C38" s="9">
        <f>'RESOURCE MGR'!C15</f>
        <v/>
      </c>
      <c r="D38" s="9">
        <f>'RESOURCE MGR'!D15</f>
        <v/>
      </c>
    </row>
    <row r="39">
      <c r="A39" s="29" t="inlineStr">
        <is>
          <t>North</t>
        </is>
      </c>
      <c r="B39" s="4" t="inlineStr">
        <is>
          <t>Section 1</t>
        </is>
      </c>
      <c r="C39" s="9">
        <f>'RESOURCE MGR'!C16</f>
        <v/>
      </c>
      <c r="D39" s="9">
        <f>'RESOURCE MGR'!D16</f>
        <v/>
      </c>
    </row>
    <row r="40">
      <c r="A40" s="29" t="inlineStr">
        <is>
          <t>North</t>
        </is>
      </c>
      <c r="B40" s="4" t="inlineStr">
        <is>
          <t>Section 2</t>
        </is>
      </c>
      <c r="C40" s="9">
        <f>'RESOURCE MGR'!C17</f>
        <v/>
      </c>
      <c r="D40" s="9">
        <f>'RESOURCE MGR'!D17</f>
        <v/>
      </c>
    </row>
    <row r="41">
      <c r="A41" s="29" t="inlineStr">
        <is>
          <t>North</t>
        </is>
      </c>
      <c r="B41" s="4" t="inlineStr">
        <is>
          <t>Section 3</t>
        </is>
      </c>
      <c r="C41" s="9">
        <f>'RESOURCE MGR'!C18</f>
        <v/>
      </c>
      <c r="D41" s="9">
        <f>'RESOURCE MGR'!D18</f>
        <v/>
      </c>
    </row>
    <row r="42">
      <c r="A42" s="29" t="inlineStr">
        <is>
          <t>North</t>
        </is>
      </c>
      <c r="B42" s="4" t="inlineStr">
        <is>
          <t>Section 4</t>
        </is>
      </c>
      <c r="C42" s="9">
        <f>'RESOURCE MGR'!C19</f>
        <v/>
      </c>
      <c r="D42" s="9">
        <f>'RESOURCE MGR'!D19</f>
        <v/>
      </c>
    </row>
    <row r="43">
      <c r="A43" s="29" t="inlineStr">
        <is>
          <t>North</t>
        </is>
      </c>
      <c r="B43" s="4" t="inlineStr">
        <is>
          <t>Section 5</t>
        </is>
      </c>
      <c r="C43" s="9">
        <f>'RESOURCE MGR'!C20</f>
        <v/>
      </c>
      <c r="D43" s="9">
        <f>'RESOURCE MGR'!D20</f>
        <v/>
      </c>
    </row>
    <row r="44">
      <c r="A44" s="30" t="inlineStr">
        <is>
          <t>East</t>
        </is>
      </c>
      <c r="B44" s="4" t="inlineStr">
        <is>
          <t>Section 1</t>
        </is>
      </c>
      <c r="C44" s="9">
        <f>'RESOURCE MGR'!C21</f>
        <v/>
      </c>
      <c r="D44" s="9">
        <f>'RESOURCE MGR'!D21</f>
        <v/>
      </c>
    </row>
    <row r="45">
      <c r="A45" s="30" t="inlineStr">
        <is>
          <t>East</t>
        </is>
      </c>
      <c r="B45" s="4" t="inlineStr">
        <is>
          <t>Section 2</t>
        </is>
      </c>
      <c r="C45" s="9">
        <f>'RESOURCE MGR'!C22</f>
        <v/>
      </c>
      <c r="D45" s="9">
        <f>'RESOURCE MGR'!D22</f>
        <v/>
      </c>
    </row>
    <row r="46">
      <c r="A46" s="30" t="inlineStr">
        <is>
          <t>East</t>
        </is>
      </c>
      <c r="B46" s="4" t="inlineStr">
        <is>
          <t>Section 3</t>
        </is>
      </c>
      <c r="C46" s="9">
        <f>'RESOURCE MGR'!C23</f>
        <v/>
      </c>
      <c r="D46" s="9">
        <f>'RESOURCE MGR'!D23</f>
        <v/>
      </c>
    </row>
    <row r="47">
      <c r="A47" s="30" t="inlineStr">
        <is>
          <t>East</t>
        </is>
      </c>
      <c r="B47" s="4" t="inlineStr">
        <is>
          <t>Section 4</t>
        </is>
      </c>
      <c r="C47" s="9">
        <f>'RESOURCE MGR'!C24</f>
        <v/>
      </c>
      <c r="D47" s="9">
        <f>'RESOURCE MGR'!D24</f>
        <v/>
      </c>
    </row>
    <row r="48">
      <c r="A48" s="30" t="inlineStr">
        <is>
          <t>East</t>
        </is>
      </c>
      <c r="B48" s="4" t="inlineStr">
        <is>
          <t>Section 5</t>
        </is>
      </c>
      <c r="C48" s="9">
        <f>'RESOURCE MGR'!C25</f>
        <v/>
      </c>
      <c r="D48" s="9">
        <f>'RESOURCE MGR'!D25</f>
        <v/>
      </c>
    </row>
    <row r="49">
      <c r="A49" s="31" t="inlineStr">
        <is>
          <t>South</t>
        </is>
      </c>
      <c r="B49" s="4" t="inlineStr">
        <is>
          <t>Section 1</t>
        </is>
      </c>
      <c r="C49" s="9">
        <f>'RESOURCE MGR'!C26</f>
        <v/>
      </c>
      <c r="D49" s="9">
        <f>'RESOURCE MGR'!D26</f>
        <v/>
      </c>
    </row>
    <row r="50">
      <c r="A50" s="31" t="inlineStr">
        <is>
          <t>South</t>
        </is>
      </c>
      <c r="B50" s="4" t="inlineStr">
        <is>
          <t>Section 2</t>
        </is>
      </c>
      <c r="C50" s="9">
        <f>'RESOURCE MGR'!C27</f>
        <v/>
      </c>
      <c r="D50" s="9">
        <f>'RESOURCE MGR'!D27</f>
        <v/>
      </c>
    </row>
    <row r="51">
      <c r="A51" s="31" t="inlineStr">
        <is>
          <t>South</t>
        </is>
      </c>
      <c r="B51" s="4" t="inlineStr">
        <is>
          <t>Section 3</t>
        </is>
      </c>
      <c r="C51" s="9">
        <f>'RESOURCE MGR'!C28</f>
        <v/>
      </c>
      <c r="D51" s="9">
        <f>'RESOURCE MGR'!D28</f>
        <v/>
      </c>
    </row>
    <row r="52">
      <c r="A52" s="31" t="inlineStr">
        <is>
          <t>South</t>
        </is>
      </c>
      <c r="B52" s="4" t="inlineStr">
        <is>
          <t>Section 4</t>
        </is>
      </c>
      <c r="C52" s="9">
        <f>'RESOURCE MGR'!C29</f>
        <v/>
      </c>
      <c r="D52" s="9">
        <f>'RESOURCE MGR'!D29</f>
        <v/>
      </c>
    </row>
    <row r="53">
      <c r="A53" s="31" t="inlineStr">
        <is>
          <t>South</t>
        </is>
      </c>
      <c r="B53" s="4" t="inlineStr">
        <is>
          <t>Section 5</t>
        </is>
      </c>
      <c r="C53" s="9">
        <f>'RESOURCE MGR'!C30</f>
        <v/>
      </c>
      <c r="D53" s="9">
        <f>'RESOURCE MGR'!D30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CROSS-REFERENCE SUMMARY - Upstream Dashboard KPIs</t>
        </is>
      </c>
    </row>
    <row r="2">
      <c r="A2" s="2" t="inlineStr">
        <is>
          <t>Key metrics from CMO (demand) and CPO (workforce) affecting production planning.</t>
        </is>
      </c>
    </row>
    <row r="4">
      <c r="A4" s="33" t="inlineStr">
        <is>
          <t>CMO (Marketing) - Demand Forecast</t>
        </is>
      </c>
    </row>
    <row r="5">
      <c r="A5" s="25" t="inlineStr">
        <is>
          <t>Zone</t>
        </is>
      </c>
      <c r="B5" s="25" t="inlineStr">
        <is>
          <t>Demand</t>
        </is>
      </c>
      <c r="C5" s="25" t="inlineStr">
        <is>
          <t>Price</t>
        </is>
      </c>
    </row>
    <row r="6">
      <c r="A6" s="26" t="inlineStr">
        <is>
          <t>Center</t>
        </is>
      </c>
      <c r="B6" s="34" t="n">
        <v>0</v>
      </c>
      <c r="C6" s="35" t="n">
        <v>68</v>
      </c>
    </row>
    <row r="7">
      <c r="A7" s="28" t="inlineStr">
        <is>
          <t>West</t>
        </is>
      </c>
      <c r="B7" s="34" t="n">
        <v>0</v>
      </c>
      <c r="C7" s="35" t="n">
        <v>68</v>
      </c>
    </row>
    <row r="8">
      <c r="A8" s="29" t="inlineStr">
        <is>
          <t>North</t>
        </is>
      </c>
      <c r="B8" s="34" t="n">
        <v>0</v>
      </c>
      <c r="C8" s="35" t="n">
        <v>91</v>
      </c>
    </row>
    <row r="9">
      <c r="A9" s="30" t="inlineStr">
        <is>
          <t>East</t>
        </is>
      </c>
      <c r="B9" s="34" t="n">
        <v>0</v>
      </c>
      <c r="C9" s="35" t="n">
        <v>0</v>
      </c>
    </row>
    <row r="10">
      <c r="A10" s="31" t="inlineStr">
        <is>
          <t>South</t>
        </is>
      </c>
      <c r="B10" s="34" t="n">
        <v>0</v>
      </c>
      <c r="C10" s="35" t="n">
        <v>0</v>
      </c>
    </row>
    <row r="12">
      <c r="A12" s="4" t="inlineStr">
        <is>
          <t>Marketing Spend</t>
        </is>
      </c>
      <c r="B12" s="36" t="n">
        <v>0</v>
      </c>
    </row>
    <row r="14">
      <c r="A14" s="37" t="inlineStr">
        <is>
          <t>CPO (People) - Workforce Available</t>
        </is>
      </c>
    </row>
    <row r="15">
      <c r="A15" s="25" t="inlineStr">
        <is>
          <t>Zone</t>
        </is>
      </c>
      <c r="B15" s="25" t="inlineStr">
        <is>
          <t>Workers</t>
        </is>
      </c>
      <c r="C15" s="25" t="inlineStr">
        <is>
          <t>Capacity*</t>
        </is>
      </c>
    </row>
    <row r="16">
      <c r="A16" s="26" t="inlineStr">
        <is>
          <t>Center</t>
        </is>
      </c>
      <c r="B16" s="34" t="n">
        <v>0</v>
      </c>
      <c r="C16" s="38" t="n">
        <v>0</v>
      </c>
    </row>
    <row r="17">
      <c r="A17" s="28" t="inlineStr">
        <is>
          <t>West</t>
        </is>
      </c>
      <c r="B17" s="34" t="n">
        <v>0</v>
      </c>
      <c r="C17" s="38" t="n">
        <v>0</v>
      </c>
    </row>
    <row r="18">
      <c r="A18" s="29" t="inlineStr">
        <is>
          <t>North</t>
        </is>
      </c>
      <c r="B18" s="34" t="n">
        <v>0</v>
      </c>
      <c r="C18" s="38" t="n">
        <v>0</v>
      </c>
    </row>
    <row r="19">
      <c r="A19" s="30" t="inlineStr">
        <is>
          <t>East</t>
        </is>
      </c>
      <c r="B19" s="34" t="n">
        <v>0</v>
      </c>
      <c r="C19" s="38" t="n">
        <v>0</v>
      </c>
    </row>
    <row r="20">
      <c r="A20" s="31" t="inlineStr">
        <is>
          <t>South</t>
        </is>
      </c>
      <c r="B20" s="34" t="n">
        <v>0</v>
      </c>
      <c r="C20" s="38" t="n">
        <v>0</v>
      </c>
    </row>
    <row r="22">
      <c r="A22" s="4" t="inlineStr">
        <is>
          <t>Total Payroll Forecast</t>
        </is>
      </c>
      <c r="B22" s="36" t="n">
        <v>0</v>
      </c>
    </row>
    <row r="23">
      <c r="A23" s="4" t="inlineStr">
        <is>
          <t>Hiring Costs</t>
        </is>
      </c>
      <c r="B23" s="36" t="n">
        <v>0</v>
      </c>
    </row>
    <row r="25">
      <c r="A25" s="2" t="inlineStr">
        <is>
          <t>* Capacity assumes 50 units/worker/fortnight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2026-01-08T11:49:46Z</dcterms:created>
  <dcterms:modified xsi:type="dcterms:W3CDTF">2026-01-08T11:49:46Z</dcterms:modified>
</cp:coreProperties>
</file>