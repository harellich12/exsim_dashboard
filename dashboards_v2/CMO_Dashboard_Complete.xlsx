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GMENT PULSE" sheetId="1" state="visible" r:id="rId1"/>
    <sheet name="INNOVATION LAB" sheetId="2" state="visible" r:id="rId2"/>
    <sheet name="STRATEGY COCKPIT" sheetId="3" state="visible" r:id="rId3"/>
    <sheet name="UPLOAD READY MARKETING" sheetId="4" state="visible" r:id="rId4"/>
    <sheet name="UPLOAD READY INNOVATION" sheetId="5" state="visible" r:id="rId5"/>
    <sheet name="CROSS 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$#,##0"/>
    <numFmt numFmtId="167" formatCode="$#,##0.00"/>
  </numFmts>
  <fonts count="9">
    <font>
      <name val="Calibri"/>
      <family val="2"/>
      <color theme="1"/>
      <sz val="11"/>
      <scheme val="minor"/>
    </font>
    <font>
      <b val="1"/>
      <color rgb="002F5496"/>
      <sz val="14"/>
    </font>
    <font>
      <b val="1"/>
      <color rgb="00006100"/>
    </font>
    <font>
      <b val="1"/>
      <color rgb="002F5496"/>
      <sz val="12"/>
    </font>
    <font>
      <b val="1"/>
      <color rgb="00FFFFFF"/>
    </font>
    <font>
      <b val="1"/>
    </font>
    <font>
      <i val="1"/>
      <color rgb="00666666"/>
    </font>
    <font>
      <b val="1"/>
      <i val="1"/>
      <color rgb="00666666"/>
    </font>
    <font>
      <b val="1"/>
      <color rgb="009C0006"/>
    </font>
  </fonts>
  <fills count="11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2F5496"/>
        <bgColor rgb="002F5496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E7E6E6"/>
        <bgColor rgb="00E7E6E6"/>
      </patternFill>
    </fill>
    <fill>
      <patternFill patternType="solid">
        <fgColor rgb="004472C4"/>
        <bgColor rgb="004472C4"/>
      </patternFill>
    </fill>
    <fill>
      <patternFill patternType="solid">
        <fgColor rgb="002E7D32"/>
        <bgColor rgb="002E7D3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5" fillId="2" borderId="1" pivotButton="0" quotePrefix="0" xfId="0"/>
    <xf numFmtId="0" fontId="5" fillId="4" borderId="1" pivotButton="0" quotePrefix="0" xfId="0"/>
    <xf numFmtId="0" fontId="5" fillId="5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6" borderId="1" applyAlignment="1" pivotButton="0" quotePrefix="0" xfId="0">
      <alignment horizontal="center"/>
    </xf>
    <xf numFmtId="166" fontId="0" fillId="6" borderId="1" pivotButton="0" quotePrefix="0" xfId="0"/>
    <xf numFmtId="0" fontId="6" fillId="0" borderId="1" pivotButton="0" quotePrefix="0" xfId="0"/>
    <xf numFmtId="0" fontId="5" fillId="0" borderId="0" pivotButton="0" quotePrefix="0" xfId="0"/>
    <xf numFmtId="166" fontId="5" fillId="7" borderId="0" pivotButton="0" quotePrefix="0" xfId="0"/>
    <xf numFmtId="0" fontId="7" fillId="8" borderId="0" pivotButton="0" quotePrefix="0" xfId="0"/>
    <xf numFmtId="166" fontId="5" fillId="8" borderId="0" pivotButton="0" quotePrefix="0" xfId="0"/>
    <xf numFmtId="0" fontId="0" fillId="6" borderId="1" pivotButton="0" quotePrefix="0" xfId="0"/>
    <xf numFmtId="166" fontId="0" fillId="7" borderId="1" pivotButton="0" quotePrefix="0" xfId="0"/>
    <xf numFmtId="0" fontId="4" fillId="3" borderId="1" applyAlignment="1" pivotButton="0" quotePrefix="0" xfId="0">
      <alignment horizontal="center" wrapText="1"/>
    </xf>
    <xf numFmtId="3" fontId="0" fillId="5" borderId="1" pivotButton="0" quotePrefix="0" xfId="0"/>
    <xf numFmtId="0" fontId="8" fillId="4" borderId="1" pivotButton="0" quotePrefix="0" xfId="0"/>
    <xf numFmtId="167" fontId="0" fillId="5" borderId="1" pivotButton="0" quotePrefix="0" xfId="0"/>
    <xf numFmtId="165" fontId="0" fillId="7" borderId="1" pivotButton="0" quotePrefix="0" xfId="0"/>
    <xf numFmtId="166" fontId="0" fillId="2" borderId="1" pivotButton="0" quotePrefix="0" xfId="0"/>
    <xf numFmtId="0" fontId="4" fillId="3" borderId="0" pivotButton="0" quotePrefix="0" xfId="0"/>
    <xf numFmtId="0" fontId="4" fillId="9" borderId="0" pivotButton="0" quotePrefix="0" xfId="0"/>
    <xf numFmtId="0" fontId="4" fillId="10" borderId="0" pivotButton="0" quotePrefix="0" xfId="0"/>
  </cellXfs>
  <cellStyles count="1">
    <cellStyle name="Normal" xfId="0" builtinId="0" hidden="0"/>
  </cellStyles>
  <dxfs count="2">
    <dxf>
      <font>
        <b val="1"/>
        <color rgb="009C0006"/>
      </font>
    </dxf>
    <dxf>
      <font>
        <b val="1"/>
        <color rgb="00FFFFFF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Competitive Positioning Matrix</a:t>
            </a:r>
          </a:p>
        </rich>
      </tx>
    </title>
    <plotArea>
      <scatterChart>
        <ser>
          <idx val="0"/>
          <order val="0"/>
          <tx>
            <v>My Product</v>
          </tx>
          <spPr>
            <a:solidFill>
              <a:srgbClr val="4472C4"/>
            </a:solidFill>
            <a:ln>
              <a:prstDash val="solid"/>
            </a:ln>
          </spPr>
          <marker>
            <symbol val="circle"/>
            <size val="12"/>
            <spPr>
              <a:ln>
                <a:prstDash val="solid"/>
              </a:ln>
            </spPr>
          </marker>
          <xVal>
            <numRef>
              <f>'SEGMENT PULSE'!$I$4</f>
            </numRef>
          </xVal>
          <yVal>
            <numRef>
              <f>'SEGMENT PULSE'!$J$4</f>
            </numRef>
          </yVal>
        </ser>
        <ser>
          <idx val="1"/>
          <order val="1"/>
          <tx>
            <v>Competitors</v>
          </tx>
          <spPr>
            <a:solidFill>
              <a:srgbClr val="ED7D31"/>
            </a:solidFill>
            <a:ln>
              <a:prstDash val="solid"/>
            </a:ln>
          </spPr>
          <marker>
            <symbol val="diamond"/>
            <size val="12"/>
            <spPr>
              <a:ln>
                <a:prstDash val="solid"/>
              </a:ln>
            </spPr>
          </marker>
          <xVal>
            <numRef>
              <f>'SEGMENT PULSE'!$I$5</f>
            </numRef>
          </xVal>
          <yVal>
            <numRef>
              <f>'SEGMENT PULSE'!$J$5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 ($)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Attractiveness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High vs Low Segment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'SEGMENT PULSE'!I26</f>
            </strRef>
          </tx>
          <spPr>
            <a:ln>
              <a:prstDash val="solid"/>
            </a:ln>
          </spPr>
          <cat>
            <numRef>
              <f>'SEGMENT PULSE'!$H$27:$H$29</f>
            </numRef>
          </cat>
          <val>
            <numRef>
              <f>'SEGMENT PULSE'!$I$27:$I$29</f>
            </numRef>
          </val>
        </ser>
        <ser>
          <idx val="1"/>
          <order val="1"/>
          <tx>
            <strRef>
              <f>'SEGMENT PULSE'!J26</f>
            </strRef>
          </tx>
          <spPr>
            <a:ln>
              <a:prstDash val="solid"/>
            </a:ln>
          </spPr>
          <cat>
            <numRef>
              <f>'SEGMENT PULSE'!$H$27:$H$29</f>
            </numRef>
          </cat>
          <val>
            <numRef>
              <f>'SEGMENT PULSE'!$J$27:$J$29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6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30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2" customWidth="1" min="5" max="5"/>
    <col width="14" customWidth="1" min="6" max="6"/>
    <col width="32" customWidth="1" min="7" max="7"/>
    <col width="18" customWidth="1" min="8" max="8"/>
    <col width="14" customWidth="1" min="9" max="9"/>
    <col width="14" customWidth="1" min="10" max="10"/>
  </cols>
  <sheetData>
    <row r="1">
      <c r="A1" s="1" t="inlineStr">
        <is>
          <t>SEGMENT PULSE - Market Allocation Drivers</t>
        </is>
      </c>
      <c r="E1" s="2" t="inlineStr">
        <is>
          <t>Normal Demand Expected</t>
        </is>
      </c>
      <c r="H1" s="3" t="inlineStr">
        <is>
          <t>COMPETITIVE POSITIONING</t>
        </is>
      </c>
    </row>
    <row r="3">
      <c r="A3" s="3" t="inlineStr">
        <is>
          <t>HIGH SEGMENT ANALYSIS</t>
        </is>
      </c>
      <c r="H3" s="4" t="inlineStr">
        <is>
          <t>Entity</t>
        </is>
      </c>
      <c r="I3" s="4" t="inlineStr">
        <is>
          <t>Price</t>
        </is>
      </c>
      <c r="J3" s="4" t="inlineStr">
        <is>
          <t>Attractiveness</t>
        </is>
      </c>
    </row>
    <row r="4">
      <c r="A4" s="4" t="inlineStr">
        <is>
          <t>Zone</t>
        </is>
      </c>
      <c r="B4" s="4" t="inlineStr">
        <is>
          <t>My Market Share</t>
        </is>
      </c>
      <c r="C4" s="4" t="inlineStr">
        <is>
          <t>Est. Demand</t>
        </is>
      </c>
      <c r="D4" s="4" t="inlineStr">
        <is>
          <t>Awareness Gap</t>
        </is>
      </c>
      <c r="E4" s="4" t="inlineStr">
        <is>
          <t>Price Gap</t>
        </is>
      </c>
      <c r="F4" s="4" t="inlineStr">
        <is>
          <t>Attractiveness</t>
        </is>
      </c>
      <c r="G4" s="4" t="inlineStr">
        <is>
          <t>Allocation Flag</t>
        </is>
      </c>
      <c r="H4" s="5" t="inlineStr">
        <is>
          <t>My Product</t>
        </is>
      </c>
      <c r="I4" s="6" t="n">
        <v>45.4</v>
      </c>
      <c r="J4" s="5" t="n">
        <v>12</v>
      </c>
    </row>
    <row r="5">
      <c r="A5" s="5" t="inlineStr">
        <is>
          <t>Center</t>
        </is>
      </c>
      <c r="B5" s="7" t="n">
        <v>25</v>
      </c>
      <c r="C5" s="8" t="n">
        <v>8800</v>
      </c>
      <c r="D5" s="5" t="n">
        <v>0</v>
      </c>
      <c r="E5" s="9" t="n">
        <v>0</v>
      </c>
      <c r="F5" s="5" t="n">
        <v>20</v>
      </c>
      <c r="G5" s="10" t="inlineStr">
        <is>
          <t>OK</t>
        </is>
      </c>
      <c r="H5" s="5" t="inlineStr">
        <is>
          <t>Competitors</t>
        </is>
      </c>
      <c r="I5" s="6" t="n">
        <v>45.4</v>
      </c>
      <c r="J5" s="5" t="n">
        <v>0</v>
      </c>
    </row>
    <row r="6">
      <c r="A6" s="5" t="inlineStr">
        <is>
          <t>West</t>
        </is>
      </c>
      <c r="B6" s="7" t="n">
        <v>25</v>
      </c>
      <c r="C6" s="8" t="n">
        <v>6000</v>
      </c>
      <c r="D6" s="5" t="n">
        <v>0</v>
      </c>
      <c r="E6" s="9" t="n">
        <v>0</v>
      </c>
      <c r="F6" s="5" t="n">
        <v>20</v>
      </c>
      <c r="G6" s="10" t="inlineStr">
        <is>
          <t>OK</t>
        </is>
      </c>
    </row>
    <row r="7">
      <c r="A7" s="5" t="inlineStr">
        <is>
          <t>North</t>
        </is>
      </c>
      <c r="B7" s="7" t="n">
        <v>25</v>
      </c>
      <c r="C7" s="8" t="n">
        <v>4900</v>
      </c>
      <c r="D7" s="5" t="n">
        <v>0</v>
      </c>
      <c r="E7" s="9" t="n">
        <v>0</v>
      </c>
      <c r="F7" s="5" t="n">
        <v>20</v>
      </c>
      <c r="G7" s="11" t="inlineStr">
        <is>
          <t>CRITICAL: Boost TV for Allocation</t>
        </is>
      </c>
    </row>
    <row r="8">
      <c r="A8" s="5" t="inlineStr">
        <is>
          <t>East</t>
        </is>
      </c>
      <c r="B8" s="9" t="n">
        <v>0</v>
      </c>
      <c r="C8" s="8" t="n">
        <v>0</v>
      </c>
      <c r="D8" s="5" t="n">
        <v>0</v>
      </c>
      <c r="E8" s="9" t="n">
        <v>0</v>
      </c>
      <c r="F8" s="5" t="n">
        <v>0</v>
      </c>
      <c r="G8" s="12" t="inlineStr">
        <is>
          <t>NO PRESENCE: Zone Not Active</t>
        </is>
      </c>
    </row>
    <row r="9">
      <c r="A9" s="5" t="inlineStr">
        <is>
          <t>South</t>
        </is>
      </c>
      <c r="B9" s="9" t="n">
        <v>0</v>
      </c>
      <c r="C9" s="8" t="n">
        <v>0</v>
      </c>
      <c r="D9" s="5" t="n">
        <v>0</v>
      </c>
      <c r="E9" s="9" t="n">
        <v>0</v>
      </c>
      <c r="F9" s="5" t="n">
        <v>0</v>
      </c>
      <c r="G9" s="12" t="inlineStr">
        <is>
          <t>NO PRESENCE: Zone Not Active</t>
        </is>
      </c>
    </row>
    <row r="12">
      <c r="A12" s="3" t="inlineStr">
        <is>
          <t>LOW SEGMENT ANALYSIS</t>
        </is>
      </c>
    </row>
    <row r="13">
      <c r="A13" s="4" t="inlineStr">
        <is>
          <t>Zone</t>
        </is>
      </c>
      <c r="B13" s="4" t="inlineStr">
        <is>
          <t>My Market Share</t>
        </is>
      </c>
      <c r="C13" s="4" t="inlineStr">
        <is>
          <t>Est. Demand</t>
        </is>
      </c>
      <c r="D13" s="4" t="inlineStr">
        <is>
          <t>Awareness Gap</t>
        </is>
      </c>
      <c r="E13" s="4" t="inlineStr">
        <is>
          <t>Price Gap</t>
        </is>
      </c>
      <c r="F13" s="4" t="inlineStr">
        <is>
          <t>Attractiveness</t>
        </is>
      </c>
      <c r="G13" s="4" t="inlineStr">
        <is>
          <t>Allocation Flag</t>
        </is>
      </c>
    </row>
    <row r="14">
      <c r="A14" s="5" t="inlineStr">
        <is>
          <t>Center</t>
        </is>
      </c>
      <c r="B14" s="7" t="n">
        <v>25</v>
      </c>
      <c r="C14" s="8" t="n">
        <v>18700</v>
      </c>
      <c r="D14" s="5" t="n">
        <v>0</v>
      </c>
      <c r="E14" s="9" t="n">
        <v>0</v>
      </c>
      <c r="F14" s="5" t="n">
        <v>20</v>
      </c>
      <c r="G14" s="10" t="inlineStr">
        <is>
          <t>OK</t>
        </is>
      </c>
    </row>
    <row r="15">
      <c r="A15" s="5" t="inlineStr">
        <is>
          <t>West</t>
        </is>
      </c>
      <c r="B15" s="7" t="n">
        <v>25</v>
      </c>
      <c r="C15" s="8" t="n">
        <v>12750</v>
      </c>
      <c r="D15" s="5" t="n">
        <v>0</v>
      </c>
      <c r="E15" s="9" t="n">
        <v>0</v>
      </c>
      <c r="F15" s="5" t="n">
        <v>20</v>
      </c>
      <c r="G15" s="10" t="inlineStr">
        <is>
          <t>OK</t>
        </is>
      </c>
    </row>
    <row r="16">
      <c r="A16" s="5" t="inlineStr">
        <is>
          <t>North</t>
        </is>
      </c>
      <c r="B16" s="7" t="n">
        <v>25</v>
      </c>
      <c r="C16" s="8" t="n">
        <v>12600</v>
      </c>
      <c r="D16" s="13" t="n">
        <v>-3.552713678800501e-15</v>
      </c>
      <c r="E16" s="9" t="n">
        <v>0</v>
      </c>
      <c r="F16" s="5" t="n">
        <v>20</v>
      </c>
      <c r="G16" s="10" t="inlineStr">
        <is>
          <t>OK</t>
        </is>
      </c>
    </row>
    <row r="17">
      <c r="A17" s="5" t="inlineStr">
        <is>
          <t>East</t>
        </is>
      </c>
      <c r="B17" s="9" t="n">
        <v>0</v>
      </c>
      <c r="C17" s="8" t="n">
        <v>0</v>
      </c>
      <c r="D17" s="5" t="n">
        <v>0</v>
      </c>
      <c r="E17" s="9" t="n">
        <v>0</v>
      </c>
      <c r="F17" s="5" t="n">
        <v>0</v>
      </c>
      <c r="G17" s="12" t="inlineStr">
        <is>
          <t>NO PRESENCE: Zone Not Active</t>
        </is>
      </c>
    </row>
    <row r="18">
      <c r="A18" s="5" t="inlineStr">
        <is>
          <t>South</t>
        </is>
      </c>
      <c r="B18" s="9" t="n">
        <v>0</v>
      </c>
      <c r="C18" s="8" t="n">
        <v>0</v>
      </c>
      <c r="D18" s="5" t="n">
        <v>0</v>
      </c>
      <c r="E18" s="9" t="n">
        <v>0</v>
      </c>
      <c r="F18" s="5" t="n">
        <v>0</v>
      </c>
      <c r="G18" s="12" t="inlineStr">
        <is>
          <t>NO PRESENCE: Zone Not Active</t>
        </is>
      </c>
    </row>
    <row r="24">
      <c r="H24" s="3" t="inlineStr">
        <is>
          <t>HIGH vs LOW SEGMENT GAP</t>
        </is>
      </c>
    </row>
    <row r="26">
      <c r="H26" s="4" t="inlineStr">
        <is>
          <t>Metric</t>
        </is>
      </c>
      <c r="I26" s="4" t="inlineStr">
        <is>
          <t>High Segment</t>
        </is>
      </c>
      <c r="J26" s="4" t="inlineStr">
        <is>
          <t>Low Segment</t>
        </is>
      </c>
    </row>
    <row r="27">
      <c r="H27" s="5" t="inlineStr">
        <is>
          <t>Awareness</t>
        </is>
      </c>
      <c r="I27" s="5" t="n">
        <v>20.762</v>
      </c>
      <c r="J27" s="5" t="n">
        <v>20.762</v>
      </c>
    </row>
    <row r="28">
      <c r="H28" s="5" t="inlineStr">
        <is>
          <t>Price Competitiveness</t>
        </is>
      </c>
      <c r="I28" s="5" t="n">
        <v>100</v>
      </c>
      <c r="J28" s="5" t="n">
        <v>100</v>
      </c>
    </row>
    <row r="29">
      <c r="H29" s="5" t="inlineStr">
        <is>
          <t>Attractiveness</t>
        </is>
      </c>
      <c r="I29" s="5" t="n">
        <v>12</v>
      </c>
      <c r="J29" s="5" t="n">
        <v>12</v>
      </c>
    </row>
  </sheetData>
  <conditionalFormatting sqref="B5:B9">
    <cfRule type="dataBar" priority="1">
      <dataBar showValue="1">
        <cfvo type="num" val="0"/>
        <cfvo type="num" val="50"/>
        <color rgb="0063C384"/>
      </dataBar>
    </cfRule>
  </conditionalFormatting>
  <conditionalFormatting sqref="B14:B18">
    <cfRule type="dataBar" priority="2">
      <dataBar showValue="1">
        <cfvo type="num" val="0"/>
        <cfvo type="num" val="50"/>
        <color rgb="0063C384"/>
      </dataBar>
    </cfRule>
  </conditionalFormatting>
  <conditionalFormatting sqref="D5:D9">
    <cfRule type="iconSet" priority="3">
      <iconSet iconSet="3TrafficLights1" showValue="1" reverse="0">
        <cfvo type="num" val="0"/>
        <cfvo type="num" val="40"/>
        <cfvo type="num" val="70"/>
      </iconSet>
    </cfRule>
  </conditionalFormatting>
  <conditionalFormatting sqref="D13:D17">
    <cfRule type="iconSet" priority="3">
      <iconSet iconSet="3TrafficLights1" showValue="1" reverse="0">
        <cfvo type="num" val="0"/>
        <cfvo type="num" val="40"/>
        <cfvo type="num" val="70"/>
      </iconSet>
    </cfRule>
  </conditionalFormatting>
  <conditionalFormatting sqref="E5:E9">
    <cfRule type="expression" priority="5" dxfId="0">
      <formula>E5&gt;0.1</formula>
    </cfRule>
  </conditionalFormatting>
  <conditionalFormatting sqref="E13:E17">
    <cfRule type="expression" priority="5" dxfId="0">
      <formula>E5&gt;0.1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25" customWidth="1" min="4" max="4"/>
  </cols>
  <sheetData>
    <row r="1">
      <c r="A1" s="1" t="inlineStr">
        <is>
          <t>INNOVATION LAB - Feature Selection</t>
        </is>
      </c>
    </row>
    <row r="2">
      <c r="A2" s="14" t="inlineStr">
        <is>
          <t>Note: Innovations increase Attractiveness. Required for High Segment Allocation.</t>
        </is>
      </c>
    </row>
    <row r="4">
      <c r="A4" s="4" t="inlineStr">
        <is>
          <t>Feature Name</t>
        </is>
      </c>
      <c r="B4" s="4" t="inlineStr">
        <is>
          <t>Decision (1=Yes)</t>
        </is>
      </c>
      <c r="C4" s="4" t="inlineStr">
        <is>
          <t>Est. Cost ($)</t>
        </is>
      </c>
      <c r="D4" s="4" t="inlineStr">
        <is>
          <t>Cost Details</t>
        </is>
      </c>
    </row>
    <row r="5">
      <c r="A5" s="5" t="inlineStr">
        <is>
          <t>STAINLESS MATERIAL</t>
        </is>
      </c>
      <c r="B5" s="15" t="n">
        <v>0</v>
      </c>
      <c r="C5" s="16" t="n">
        <v>15000</v>
      </c>
      <c r="D5" s="17" t="inlineStr">
        <is>
          <t>$15,000 + $0.15/unit</t>
        </is>
      </c>
    </row>
    <row r="6">
      <c r="A6" s="5" t="inlineStr">
        <is>
          <t>RECYCLABLE MATERIALS</t>
        </is>
      </c>
      <c r="B6" s="15" t="n">
        <v>0</v>
      </c>
      <c r="C6" s="16" t="n">
        <v>30000</v>
      </c>
      <c r="D6" s="17" t="inlineStr">
        <is>
          <t>$30,000 + $0.15/unit</t>
        </is>
      </c>
    </row>
    <row r="7">
      <c r="A7" s="5" t="inlineStr">
        <is>
          <t>ENERGY EFFICIENCY</t>
        </is>
      </c>
      <c r="B7" s="15" t="n">
        <v>0</v>
      </c>
      <c r="C7" s="16" t="n">
        <v>30000</v>
      </c>
      <c r="D7" s="17" t="inlineStr">
        <is>
          <t>$30,000 + $0.15/unit</t>
        </is>
      </c>
    </row>
    <row r="8">
      <c r="A8" s="5" t="inlineStr">
        <is>
          <t>LIGHTER AND MORE COMPACT</t>
        </is>
      </c>
      <c r="B8" s="15" t="n">
        <v>0</v>
      </c>
      <c r="C8" s="16" t="n">
        <v>30000</v>
      </c>
      <c r="D8" s="17" t="inlineStr">
        <is>
          <t>$30,000 + $0.30/unit</t>
        </is>
      </c>
    </row>
    <row r="9">
      <c r="A9" s="5" t="inlineStr">
        <is>
          <t>IMPACT RESISTANCE</t>
        </is>
      </c>
      <c r="B9" s="15" t="n">
        <v>0</v>
      </c>
      <c r="C9" s="16" t="n">
        <v>30000</v>
      </c>
      <c r="D9" s="17" t="inlineStr">
        <is>
          <t>$30,000 + $0.30/unit</t>
        </is>
      </c>
    </row>
    <row r="10">
      <c r="A10" s="5" t="inlineStr">
        <is>
          <t>NOISE REDUCTION</t>
        </is>
      </c>
      <c r="B10" s="15" t="n">
        <v>0</v>
      </c>
      <c r="C10" s="16" t="n">
        <v>45000</v>
      </c>
      <c r="D10" s="17" t="inlineStr">
        <is>
          <t>$45,000 + $0.30/unit</t>
        </is>
      </c>
    </row>
    <row r="11">
      <c r="A11" s="5" t="inlineStr">
        <is>
          <t>IMPROVED BATTERY CAPACITY</t>
        </is>
      </c>
      <c r="B11" s="15" t="n">
        <v>0</v>
      </c>
      <c r="C11" s="16" t="n">
        <v>45000</v>
      </c>
      <c r="D11" s="17" t="inlineStr">
        <is>
          <t>$45,000 + $0.45/unit</t>
        </is>
      </c>
    </row>
    <row r="12">
      <c r="A12" s="5" t="inlineStr">
        <is>
          <t>SELF-CLEANING</t>
        </is>
      </c>
      <c r="B12" s="15" t="n">
        <v>0</v>
      </c>
      <c r="C12" s="16" t="n">
        <v>45000</v>
      </c>
      <c r="D12" s="17" t="inlineStr">
        <is>
          <t>$45,000 + $0.45/unit</t>
        </is>
      </c>
    </row>
    <row r="13">
      <c r="A13" s="5" t="inlineStr">
        <is>
          <t>SPEED SETTINGS</t>
        </is>
      </c>
      <c r="B13" s="15" t="n">
        <v>0</v>
      </c>
      <c r="C13" s="16" t="n">
        <v>45000</v>
      </c>
      <c r="D13" s="17" t="inlineStr">
        <is>
          <t>$45,000 + $0.45/unit</t>
        </is>
      </c>
    </row>
    <row r="14">
      <c r="A14" s="5" t="inlineStr">
        <is>
          <t>DIGITAL CONTROLS</t>
        </is>
      </c>
      <c r="B14" s="15" t="n">
        <v>0</v>
      </c>
      <c r="C14" s="16" t="n">
        <v>45000</v>
      </c>
      <c r="D14" s="17" t="inlineStr">
        <is>
          <t>$45,000 + $0.45/unit</t>
        </is>
      </c>
    </row>
    <row r="15">
      <c r="A15" s="5" t="inlineStr">
        <is>
          <t>VOICE ASSISTANCE INTEGRATION</t>
        </is>
      </c>
      <c r="B15" s="15" t="n">
        <v>0</v>
      </c>
      <c r="C15" s="16" t="n">
        <v>45000</v>
      </c>
      <c r="D15" s="17" t="inlineStr">
        <is>
          <t>$45,000 + $0.75/unit</t>
        </is>
      </c>
    </row>
    <row r="16">
      <c r="A16" s="5" t="inlineStr">
        <is>
          <t>AUTOMATION AND PROGRAMMABILITY</t>
        </is>
      </c>
      <c r="B16" s="15" t="n">
        <v>0</v>
      </c>
      <c r="C16" s="16" t="n">
        <v>45000</v>
      </c>
      <c r="D16" s="17" t="inlineStr">
        <is>
          <t>$45,000 + $0.75/unit</t>
        </is>
      </c>
    </row>
    <row r="17">
      <c r="A17" s="5" t="inlineStr">
        <is>
          <t>MULTIFUNCTIONAL ACCESSORIES</t>
        </is>
      </c>
      <c r="B17" s="15" t="n">
        <v>0</v>
      </c>
      <c r="C17" s="16" t="n">
        <v>100000</v>
      </c>
      <c r="D17" s="17" t="inlineStr">
        <is>
          <t>$100,000 + $1.00/unit</t>
        </is>
      </c>
    </row>
    <row r="18">
      <c r="A18" s="5" t="inlineStr">
        <is>
          <t>MAPPING TECHNOLOGY</t>
        </is>
      </c>
      <c r="B18" s="15" t="n">
        <v>0</v>
      </c>
      <c r="C18" s="16" t="n">
        <v>100000</v>
      </c>
      <c r="D18" s="17" t="inlineStr">
        <is>
          <t>$100,000 + $1.00/unit</t>
        </is>
      </c>
    </row>
    <row r="20">
      <c r="A20" s="18" t="inlineStr">
        <is>
          <t>TOTAL INNOVATION COST</t>
        </is>
      </c>
      <c r="C20" s="19">
        <f>SUMPRODUCT(B5:B18,C5:C18)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8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  <col width="16" customWidth="1" min="11" max="11"/>
    <col width="16" customWidth="1" min="12" max="12"/>
  </cols>
  <sheetData>
    <row r="1">
      <c r="A1" s="3" t="inlineStr">
        <is>
          <t>UNIT ECONOMICS CHEAT SHEET</t>
        </is>
      </c>
    </row>
    <row r="2">
      <c r="A2" s="20" t="inlineStr">
        <is>
          <t>TV Cost/Spot</t>
        </is>
      </c>
      <c r="B2" s="20" t="inlineStr">
        <is>
          <t>Radio Cost/Spot</t>
        </is>
      </c>
      <c r="C2" s="20" t="inlineStr">
        <is>
          <t>Hiring Fee</t>
        </is>
      </c>
      <c r="D2" s="20" t="inlineStr">
        <is>
          <t>Salary/Person</t>
        </is>
      </c>
    </row>
    <row r="3">
      <c r="A3" s="21" t="n">
        <v>3000</v>
      </c>
      <c r="B3" s="21" t="n">
        <v>300</v>
      </c>
      <c r="C3" s="21" t="n">
        <v>1100</v>
      </c>
      <c r="D3" s="21" t="n">
        <v>1500</v>
      </c>
    </row>
    <row r="5">
      <c r="A5" s="14" t="inlineStr">
        <is>
          <t>HOW TO USE: Adjust Yellow cells. Check Profit Projection. Go to UPLOAD_READY tabs to copy decisions.</t>
        </is>
      </c>
    </row>
    <row r="7">
      <c r="A7" s="3" t="inlineStr">
        <is>
          <t>SECTION A: GLOBAL ALLOCATIONS</t>
        </is>
      </c>
    </row>
    <row r="9">
      <c r="A9" s="5" t="inlineStr">
        <is>
          <t>TV Spots (Qty)</t>
        </is>
      </c>
      <c r="B9" s="22" t="n">
        <v>0</v>
      </c>
      <c r="C9" s="23">
        <f>B9*3000.0</f>
        <v/>
      </c>
    </row>
    <row r="10">
      <c r="A10" s="5" t="inlineStr">
        <is>
          <t>Brand Focus (0-100)</t>
        </is>
      </c>
      <c r="B10" s="22" t="n">
        <v>50</v>
      </c>
      <c r="C10" s="14" t="inlineStr">
        <is>
          <t>0=Awareness focus, 100=Attributes focus</t>
        </is>
      </c>
    </row>
    <row r="13">
      <c r="A13" s="3" t="inlineStr">
        <is>
          <t>SECTION B: ZONAL ALLOCATIONS</t>
        </is>
      </c>
    </row>
    <row r="15">
      <c r="A15" s="24" t="inlineStr">
        <is>
          <t>Zone</t>
        </is>
      </c>
      <c r="B15" s="24" t="inlineStr">
        <is>
          <t>Last Sales</t>
        </is>
      </c>
      <c r="C15" s="24" t="inlineStr">
        <is>
          <t>Stockout?</t>
        </is>
      </c>
      <c r="D15" s="24" t="inlineStr">
        <is>
          <t>Target Demand</t>
        </is>
      </c>
      <c r="E15" s="24" t="inlineStr">
        <is>
          <t>Radio Spots (Qty)</t>
        </is>
      </c>
      <c r="F15" s="24" t="inlineStr">
        <is>
          <t>Headcount</t>
        </is>
      </c>
      <c r="G15" s="24" t="inlineStr">
        <is>
          <t>Price</t>
        </is>
      </c>
      <c r="H15" s="24" t="inlineStr">
        <is>
          <t>Avg Comp Price</t>
        </is>
      </c>
      <c r="I15" s="24" t="inlineStr">
        <is>
          <t>Payment</t>
        </is>
      </c>
      <c r="J15" s="24" t="inlineStr">
        <is>
          <t>A/R Discount%</t>
        </is>
      </c>
      <c r="K15" s="24" t="inlineStr">
        <is>
          <t>Est. Revenue</t>
        </is>
      </c>
      <c r="L15" s="24" t="inlineStr">
        <is>
          <t>Mkt Cost</t>
        </is>
      </c>
      <c r="M15" s="24" t="inlineStr">
        <is>
          <t>Contribution</t>
        </is>
      </c>
    </row>
    <row r="16">
      <c r="A16" s="5" t="inlineStr">
        <is>
          <t>Center</t>
        </is>
      </c>
      <c r="B16" s="25" t="n">
        <v>8900</v>
      </c>
      <c r="C16" s="26" t="inlineStr">
        <is>
          <t>TRUE DEMAND HIGHER</t>
        </is>
      </c>
      <c r="D16" s="22" t="n">
        <v>0</v>
      </c>
      <c r="E16" s="22" t="n">
        <v>0</v>
      </c>
      <c r="F16" s="22" t="n">
        <v>0</v>
      </c>
      <c r="G16" s="16" t="n">
        <v>0</v>
      </c>
      <c r="H16" s="27" t="n">
        <v>68</v>
      </c>
      <c r="I16" s="22" t="inlineStr"/>
      <c r="J16" s="28">
        <f>IF(I16="A",0.13,IF(I16="B",0.075,IF(I16="C",0.025,0)))</f>
        <v/>
      </c>
      <c r="K16" s="23">
        <f>D16*G16*(1-J16)</f>
        <v/>
      </c>
      <c r="L16" s="23">
        <f>(C9/5) + (E16*300.0) + (F16*1500) + (MAX(0, F16-5)*1100)</f>
        <v/>
      </c>
      <c r="M16" s="29">
        <f>K16-L16</f>
        <v/>
      </c>
    </row>
    <row r="17">
      <c r="A17" s="5" t="inlineStr">
        <is>
          <t>West</t>
        </is>
      </c>
      <c r="B17" s="25" t="n">
        <v>4028</v>
      </c>
      <c r="C17" s="26" t="inlineStr">
        <is>
          <t>TRUE DEMAND HIGHER</t>
        </is>
      </c>
      <c r="D17" s="22" t="n">
        <v>0</v>
      </c>
      <c r="E17" s="22" t="n">
        <v>0</v>
      </c>
      <c r="F17" s="22" t="n">
        <v>0</v>
      </c>
      <c r="G17" s="16" t="n">
        <v>0</v>
      </c>
      <c r="H17" s="27" t="n">
        <v>68</v>
      </c>
      <c r="I17" s="22" t="inlineStr"/>
      <c r="J17" s="28">
        <f>IF(I17="A",0.13,IF(I17="B",0.075,IF(I17="C",0.025,0)))</f>
        <v/>
      </c>
      <c r="K17" s="23">
        <f>D17*G17*(1-J17)</f>
        <v/>
      </c>
      <c r="L17" s="23">
        <f>(C9/5) + (E17*300.0) + (F17*1500) + (MAX(0, F17-5)*1100)</f>
        <v/>
      </c>
      <c r="M17" s="29">
        <f>K17-L17</f>
        <v/>
      </c>
    </row>
    <row r="18">
      <c r="A18" s="5" t="inlineStr">
        <is>
          <t>North</t>
        </is>
      </c>
      <c r="B18" s="25" t="n">
        <v>4400</v>
      </c>
      <c r="C18" s="26" t="inlineStr">
        <is>
          <t>TRUE DEMAND HIGHER</t>
        </is>
      </c>
      <c r="D18" s="22" t="n">
        <v>0</v>
      </c>
      <c r="E18" s="22" t="n">
        <v>0</v>
      </c>
      <c r="F18" s="22" t="n">
        <v>0</v>
      </c>
      <c r="G18" s="16" t="n">
        <v>0</v>
      </c>
      <c r="H18" s="27" t="n">
        <v>91</v>
      </c>
      <c r="I18" s="22" t="inlineStr"/>
      <c r="J18" s="28">
        <f>IF(I18="A",0.13,IF(I18="B",0.075,IF(I18="C",0.025,0)))</f>
        <v/>
      </c>
      <c r="K18" s="23">
        <f>D18*G18*(1-J18)</f>
        <v/>
      </c>
      <c r="L18" s="23">
        <f>(C9/5) + (E18*300.0) + (F18*1500) + (MAX(0, F18-5)*1100)</f>
        <v/>
      </c>
      <c r="M18" s="29">
        <f>K18-L18</f>
        <v/>
      </c>
    </row>
    <row r="19">
      <c r="A19" s="5" t="inlineStr">
        <is>
          <t>East</t>
        </is>
      </c>
      <c r="B19" s="25" t="n">
        <v>0</v>
      </c>
      <c r="C19" s="26" t="inlineStr">
        <is>
          <t>TRUE DEMAND HIGHER</t>
        </is>
      </c>
      <c r="D19" s="22" t="n">
        <v>0</v>
      </c>
      <c r="E19" s="22" t="n">
        <v>0</v>
      </c>
      <c r="F19" s="22" t="n">
        <v>0</v>
      </c>
      <c r="G19" s="16" t="n">
        <v>0</v>
      </c>
      <c r="H19" s="27" t="n">
        <v>0</v>
      </c>
      <c r="I19" s="22" t="inlineStr"/>
      <c r="J19" s="28">
        <f>IF(I19="A",0.13,IF(I19="B",0.075,IF(I19="C",0.025,0)))</f>
        <v/>
      </c>
      <c r="K19" s="23">
        <f>D19*G19*(1-J19)</f>
        <v/>
      </c>
      <c r="L19" s="23">
        <f>(C9/5) + (E19*300.0) + (F19*1500) + (MAX(0, F19-5)*1100)</f>
        <v/>
      </c>
      <c r="M19" s="29">
        <f>K19-L19</f>
        <v/>
      </c>
    </row>
    <row r="20">
      <c r="A20" s="5" t="inlineStr">
        <is>
          <t>South</t>
        </is>
      </c>
      <c r="B20" s="25" t="n">
        <v>0</v>
      </c>
      <c r="C20" s="26" t="inlineStr">
        <is>
          <t>TRUE DEMAND HIGHER</t>
        </is>
      </c>
      <c r="D20" s="22" t="n">
        <v>0</v>
      </c>
      <c r="E20" s="22" t="n">
        <v>0</v>
      </c>
      <c r="F20" s="22" t="n">
        <v>0</v>
      </c>
      <c r="G20" s="16" t="n">
        <v>0</v>
      </c>
      <c r="H20" s="27" t="n">
        <v>0</v>
      </c>
      <c r="I20" s="22" t="inlineStr"/>
      <c r="J20" s="28">
        <f>IF(I20="A",0.13,IF(I20="B",0.075,IF(I20="C",0.025,0)))</f>
        <v/>
      </c>
      <c r="K20" s="23">
        <f>D20*G20*(1-J20)</f>
        <v/>
      </c>
      <c r="L20" s="23">
        <f>(C9/5) + (E20*300.0) + (F20*1500) + (MAX(0, F20-5)*1100)</f>
        <v/>
      </c>
      <c r="M20" s="29">
        <f>K20-L20</f>
        <v/>
      </c>
    </row>
  </sheetData>
  <conditionalFormatting sqref="G16">
    <cfRule type="expression" priority="1" dxfId="1">
      <formula>G16&gt;(H16*1.15)</formula>
    </cfRule>
  </conditionalFormatting>
  <conditionalFormatting sqref="G17">
    <cfRule type="expression" priority="2" dxfId="1">
      <formula>G17&gt;(H17*1.15)</formula>
    </cfRule>
  </conditionalFormatting>
  <conditionalFormatting sqref="G18">
    <cfRule type="expression" priority="3" dxfId="1">
      <formula>G18&gt;(H18*1.15)</formula>
    </cfRule>
  </conditionalFormatting>
  <conditionalFormatting sqref="G19">
    <cfRule type="expression" priority="4" dxfId="1">
      <formula>G19&gt;(H19*1.15)</formula>
    </cfRule>
  </conditionalFormatting>
  <conditionalFormatting sqref="G20">
    <cfRule type="expression" priority="5" dxfId="1">
      <formula>G20&gt;(H20*1.15)</formula>
    </cfRule>
  </conditionalFormatting>
  <dataValidations count="5">
    <dataValidation sqref="I16" showDropDown="0" showInputMessage="0" showErrorMessage="0" allowBlank="0" errorTitle="Invalid Payment Term" error="Payment term must be A, B, C, or D" type="list">
      <formula1>"A,B,C,D"</formula1>
    </dataValidation>
    <dataValidation sqref="I17" showDropDown="0" showInputMessage="0" showErrorMessage="0" allowBlank="0" errorTitle="Invalid Payment Term" error="Payment term must be A, B, C, or D" type="list">
      <formula1>"A,B,C,D"</formula1>
    </dataValidation>
    <dataValidation sqref="I18" showDropDown="0" showInputMessage="0" showErrorMessage="0" allowBlank="0" errorTitle="Invalid Payment Term" error="Payment term must be A, B, C, or D" type="list">
      <formula1>"A,B,C,D"</formula1>
    </dataValidation>
    <dataValidation sqref="I19" showDropDown="0" showInputMessage="0" showErrorMessage="0" allowBlank="0" errorTitle="Invalid Payment Term" error="Payment term must be A, B, C, or D" type="list">
      <formula1>"A,B,C,D"</formula1>
    </dataValidation>
    <dataValidation sqref="I20" showDropDown="0" showInputMessage="0" showErrorMessage="0" allowBlank="0" errorTitle="Invalid Payment Term" error="Payment term must be A, B, C, or D" type="list">
      <formula1>"A,B,C,D"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MARKETING DECISIONS - ExSim Upload Format</t>
        </is>
      </c>
    </row>
    <row r="2">
      <c r="A2" s="14" t="inlineStr">
        <is>
          <t>Copy these values to ExSim Marketing upload</t>
        </is>
      </c>
    </row>
    <row r="4">
      <c r="A4" s="3" t="inlineStr">
        <is>
          <t>Marketing Campaigns</t>
        </is>
      </c>
      <c r="G4" s="3" t="inlineStr">
        <is>
          <t>Demand</t>
        </is>
      </c>
      <c r="J4" s="3" t="inlineStr">
        <is>
          <t>Pricing Strategy</t>
        </is>
      </c>
      <c r="N4" s="3" t="inlineStr">
        <is>
          <t>Channels</t>
        </is>
      </c>
    </row>
    <row r="5">
      <c r="A5" s="4" t="inlineStr">
        <is>
          <t>Brand</t>
        </is>
      </c>
      <c r="B5" s="4" t="inlineStr">
        <is>
          <t>Zone</t>
        </is>
      </c>
      <c r="C5" s="4" t="inlineStr">
        <is>
          <t>Channel</t>
        </is>
      </c>
      <c r="D5" s="4" t="inlineStr">
        <is>
          <t>Amount</t>
        </is>
      </c>
      <c r="E5" s="4" t="inlineStr">
        <is>
          <t>Brand Focus</t>
        </is>
      </c>
      <c r="G5" s="30" t="inlineStr">
        <is>
          <t>Zone</t>
        </is>
      </c>
      <c r="H5" s="30" t="inlineStr">
        <is>
          <t>Demand</t>
        </is>
      </c>
      <c r="J5" s="30" t="inlineStr">
        <is>
          <t>Zone</t>
        </is>
      </c>
      <c r="K5" s="30" t="inlineStr">
        <is>
          <t>Brand</t>
        </is>
      </c>
      <c r="L5" s="30" t="inlineStr">
        <is>
          <t>Price</t>
        </is>
      </c>
      <c r="N5" s="30" t="inlineStr">
        <is>
          <t>Zone</t>
        </is>
      </c>
      <c r="O5" s="30" t="inlineStr">
        <is>
          <t>Payment</t>
        </is>
      </c>
      <c r="P5" s="30" t="inlineStr">
        <is>
          <t>Salespeople</t>
        </is>
      </c>
    </row>
    <row r="6">
      <c r="A6" s="5" t="inlineStr">
        <is>
          <t>A</t>
        </is>
      </c>
      <c r="B6" s="5" t="inlineStr">
        <is>
          <t>All</t>
        </is>
      </c>
      <c r="C6" s="5" t="inlineStr">
        <is>
          <t>TV</t>
        </is>
      </c>
      <c r="D6" s="5">
        <f>'STRATEGY COCKPIT'!C9</f>
        <v/>
      </c>
      <c r="E6" s="5">
        <f>'STRATEGY COCKPIT'!B10</f>
        <v/>
      </c>
      <c r="G6" s="5" t="inlineStr">
        <is>
          <t>Center</t>
        </is>
      </c>
      <c r="H6" s="5">
        <f>'STRATEGY COCKPIT'!D16</f>
        <v/>
      </c>
      <c r="J6" s="5" t="inlineStr">
        <is>
          <t>Center</t>
        </is>
      </c>
      <c r="K6" s="5" t="inlineStr">
        <is>
          <t>A</t>
        </is>
      </c>
      <c r="L6" s="5">
        <f>'STRATEGY COCKPIT'!G16</f>
        <v/>
      </c>
      <c r="N6" s="5" t="inlineStr">
        <is>
          <t>Center</t>
        </is>
      </c>
      <c r="O6" s="5">
        <f>'STRATEGY COCKPIT'!I16</f>
        <v/>
      </c>
      <c r="P6" s="5">
        <f>'STRATEGY COCKPIT'!F16</f>
        <v/>
      </c>
    </row>
    <row r="7">
      <c r="A7" s="5" t="inlineStr">
        <is>
          <t>A</t>
        </is>
      </c>
      <c r="B7" s="5" t="inlineStr">
        <is>
          <t>Center</t>
        </is>
      </c>
      <c r="C7" s="5" t="inlineStr">
        <is>
          <t>Radio</t>
        </is>
      </c>
      <c r="D7" s="5">
        <f>'STRATEGY COCKPIT'!E16*'STRATEGY COCKPIT'!$B$3</f>
        <v/>
      </c>
      <c r="E7" s="5">
        <f>'STRATEGY COCKPIT'!B10</f>
        <v/>
      </c>
      <c r="G7" s="5" t="inlineStr">
        <is>
          <t>West</t>
        </is>
      </c>
      <c r="H7" s="5">
        <f>'STRATEGY COCKPIT'!D17</f>
        <v/>
      </c>
      <c r="J7" s="5" t="inlineStr">
        <is>
          <t>West</t>
        </is>
      </c>
      <c r="K7" s="5" t="inlineStr">
        <is>
          <t>A</t>
        </is>
      </c>
      <c r="L7" s="5">
        <f>'STRATEGY COCKPIT'!G17</f>
        <v/>
      </c>
      <c r="N7" s="5" t="inlineStr">
        <is>
          <t>West</t>
        </is>
      </c>
      <c r="O7" s="5">
        <f>'STRATEGY COCKPIT'!I17</f>
        <v/>
      </c>
      <c r="P7" s="5">
        <f>'STRATEGY COCKPIT'!F17</f>
        <v/>
      </c>
    </row>
    <row r="8">
      <c r="A8" s="5" t="inlineStr">
        <is>
          <t>A</t>
        </is>
      </c>
      <c r="B8" s="5" t="inlineStr">
        <is>
          <t>West</t>
        </is>
      </c>
      <c r="C8" s="5" t="inlineStr">
        <is>
          <t>Radio</t>
        </is>
      </c>
      <c r="D8" s="5">
        <f>'STRATEGY COCKPIT'!E17*'STRATEGY COCKPIT'!$B$3</f>
        <v/>
      </c>
      <c r="E8" s="5">
        <f>'STRATEGY COCKPIT'!B10</f>
        <v/>
      </c>
      <c r="G8" s="5" t="inlineStr">
        <is>
          <t>North</t>
        </is>
      </c>
      <c r="H8" s="5">
        <f>'STRATEGY COCKPIT'!D18</f>
        <v/>
      </c>
      <c r="J8" s="5" t="inlineStr">
        <is>
          <t>North</t>
        </is>
      </c>
      <c r="K8" s="5" t="inlineStr">
        <is>
          <t>A</t>
        </is>
      </c>
      <c r="L8" s="5">
        <f>'STRATEGY COCKPIT'!G18</f>
        <v/>
      </c>
      <c r="N8" s="5" t="inlineStr">
        <is>
          <t>North</t>
        </is>
      </c>
      <c r="O8" s="5">
        <f>'STRATEGY COCKPIT'!I18</f>
        <v/>
      </c>
      <c r="P8" s="5">
        <f>'STRATEGY COCKPIT'!F18</f>
        <v/>
      </c>
    </row>
    <row r="9">
      <c r="A9" s="5" t="inlineStr">
        <is>
          <t>A</t>
        </is>
      </c>
      <c r="B9" s="5" t="inlineStr">
        <is>
          <t>North</t>
        </is>
      </c>
      <c r="C9" s="5" t="inlineStr">
        <is>
          <t>Radio</t>
        </is>
      </c>
      <c r="D9" s="5">
        <f>'STRATEGY COCKPIT'!E18*'STRATEGY COCKPIT'!$B$3</f>
        <v/>
      </c>
      <c r="E9" s="5">
        <f>'STRATEGY COCKPIT'!B10</f>
        <v/>
      </c>
      <c r="G9" s="5" t="inlineStr">
        <is>
          <t>East</t>
        </is>
      </c>
      <c r="H9" s="5">
        <f>'STRATEGY COCKPIT'!D19</f>
        <v/>
      </c>
      <c r="J9" s="5" t="inlineStr">
        <is>
          <t>East</t>
        </is>
      </c>
      <c r="K9" s="5" t="inlineStr">
        <is>
          <t>A</t>
        </is>
      </c>
      <c r="L9" s="5">
        <f>'STRATEGY COCKPIT'!G19</f>
        <v/>
      </c>
      <c r="N9" s="5" t="inlineStr">
        <is>
          <t>East</t>
        </is>
      </c>
      <c r="O9" s="5">
        <f>'STRATEGY COCKPIT'!I19</f>
        <v/>
      </c>
      <c r="P9" s="5">
        <f>'STRATEGY COCKPIT'!F19</f>
        <v/>
      </c>
    </row>
    <row r="10">
      <c r="A10" s="5" t="inlineStr">
        <is>
          <t>A</t>
        </is>
      </c>
      <c r="B10" s="5" t="inlineStr">
        <is>
          <t>East</t>
        </is>
      </c>
      <c r="C10" s="5" t="inlineStr">
        <is>
          <t>Radio</t>
        </is>
      </c>
      <c r="D10" s="5">
        <f>'STRATEGY COCKPIT'!E19*'STRATEGY COCKPIT'!$B$3</f>
        <v/>
      </c>
      <c r="E10" s="5">
        <f>'STRATEGY COCKPIT'!B10</f>
        <v/>
      </c>
      <c r="G10" s="5" t="inlineStr">
        <is>
          <t>South</t>
        </is>
      </c>
      <c r="H10" s="5">
        <f>'STRATEGY COCKPIT'!D20</f>
        <v/>
      </c>
      <c r="J10" s="5" t="inlineStr">
        <is>
          <t>South</t>
        </is>
      </c>
      <c r="K10" s="5" t="inlineStr">
        <is>
          <t>A</t>
        </is>
      </c>
      <c r="L10" s="5">
        <f>'STRATEGY COCKPIT'!G20</f>
        <v/>
      </c>
      <c r="N10" s="5" t="inlineStr">
        <is>
          <t>South</t>
        </is>
      </c>
      <c r="O10" s="5">
        <f>'STRATEGY COCKPIT'!I20</f>
        <v/>
      </c>
      <c r="P10" s="5">
        <f>'STRATEGY COCKPIT'!F20</f>
        <v/>
      </c>
    </row>
    <row r="11">
      <c r="A11" s="5" t="inlineStr">
        <is>
          <t>A</t>
        </is>
      </c>
      <c r="B11" s="5" t="inlineStr">
        <is>
          <t>South</t>
        </is>
      </c>
      <c r="C11" s="5" t="inlineStr">
        <is>
          <t>Radio</t>
        </is>
      </c>
      <c r="D11" s="5">
        <f>'STRATEGY COCKPIT'!E20*'STRATEGY COCKPIT'!$B$3</f>
        <v/>
      </c>
      <c r="E11" s="5">
        <f>'STRATEGY COCKPIT'!B10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0" customWidth="1" min="3" max="3"/>
  </cols>
  <sheetData>
    <row r="1">
      <c r="A1" s="1" t="inlineStr">
        <is>
          <t>INNOVATION DECISIONS - ExSim Upload Format</t>
        </is>
      </c>
    </row>
    <row r="2">
      <c r="A2" s="14" t="inlineStr">
        <is>
          <t>Copy these values to ExSim Innovation upload</t>
        </is>
      </c>
    </row>
    <row r="4">
      <c r="A4" s="30" t="inlineStr">
        <is>
          <t>Brand</t>
        </is>
      </c>
      <c r="B4" s="30" t="inlineStr">
        <is>
          <t>Improvement</t>
        </is>
      </c>
      <c r="C4" s="30" t="inlineStr">
        <is>
          <t>Value</t>
        </is>
      </c>
    </row>
    <row r="5">
      <c r="A5" s="5" t="inlineStr">
        <is>
          <t>A</t>
        </is>
      </c>
      <c r="B5" s="5" t="inlineStr">
        <is>
          <t>STAINLESS MATERIAL</t>
        </is>
      </c>
      <c r="C5" s="5">
        <f>'INNOVATION LAB'!B5</f>
        <v/>
      </c>
    </row>
    <row r="6">
      <c r="A6" s="5" t="inlineStr">
        <is>
          <t>A</t>
        </is>
      </c>
      <c r="B6" s="5" t="inlineStr">
        <is>
          <t>RECYCLABLE MATERIALS</t>
        </is>
      </c>
      <c r="C6" s="5">
        <f>'INNOVATION LAB'!B6</f>
        <v/>
      </c>
    </row>
    <row r="7">
      <c r="A7" s="5" t="inlineStr">
        <is>
          <t>A</t>
        </is>
      </c>
      <c r="B7" s="5" t="inlineStr">
        <is>
          <t>ENERGY EFFICIENCY</t>
        </is>
      </c>
      <c r="C7" s="5">
        <f>'INNOVATION LAB'!B7</f>
        <v/>
      </c>
    </row>
    <row r="8">
      <c r="A8" s="5" t="inlineStr">
        <is>
          <t>A</t>
        </is>
      </c>
      <c r="B8" s="5" t="inlineStr">
        <is>
          <t>LIGHTER AND MORE COMPACT</t>
        </is>
      </c>
      <c r="C8" s="5">
        <f>'INNOVATION LAB'!B8</f>
        <v/>
      </c>
    </row>
    <row r="9">
      <c r="A9" s="5" t="inlineStr">
        <is>
          <t>A</t>
        </is>
      </c>
      <c r="B9" s="5" t="inlineStr">
        <is>
          <t>IMPACT RESISTANCE</t>
        </is>
      </c>
      <c r="C9" s="5">
        <f>'INNOVATION LAB'!B9</f>
        <v/>
      </c>
    </row>
    <row r="10">
      <c r="A10" s="5" t="inlineStr">
        <is>
          <t>A</t>
        </is>
      </c>
      <c r="B10" s="5" t="inlineStr">
        <is>
          <t>NOISE REDUCTION</t>
        </is>
      </c>
      <c r="C10" s="5">
        <f>'INNOVATION LAB'!B10</f>
        <v/>
      </c>
    </row>
    <row r="11">
      <c r="A11" s="5" t="inlineStr">
        <is>
          <t>A</t>
        </is>
      </c>
      <c r="B11" s="5" t="inlineStr">
        <is>
          <t>IMPROVED BATTERY CAPACITY</t>
        </is>
      </c>
      <c r="C11" s="5">
        <f>'INNOVATION LAB'!B11</f>
        <v/>
      </c>
    </row>
    <row r="12">
      <c r="A12" s="5" t="inlineStr">
        <is>
          <t>A</t>
        </is>
      </c>
      <c r="B12" s="5" t="inlineStr">
        <is>
          <t>SELF-CLEANING</t>
        </is>
      </c>
      <c r="C12" s="5">
        <f>'INNOVATION LAB'!B12</f>
        <v/>
      </c>
    </row>
    <row r="13">
      <c r="A13" s="5" t="inlineStr">
        <is>
          <t>A</t>
        </is>
      </c>
      <c r="B13" s="5" t="inlineStr">
        <is>
          <t>SPEED SETTINGS</t>
        </is>
      </c>
      <c r="C13" s="5">
        <f>'INNOVATION LAB'!B13</f>
        <v/>
      </c>
    </row>
    <row r="14">
      <c r="A14" s="5" t="inlineStr">
        <is>
          <t>A</t>
        </is>
      </c>
      <c r="B14" s="5" t="inlineStr">
        <is>
          <t>DIGITAL CONTROLS</t>
        </is>
      </c>
      <c r="C14" s="5">
        <f>'INNOVATION LAB'!B14</f>
        <v/>
      </c>
    </row>
    <row r="15">
      <c r="A15" s="5" t="inlineStr">
        <is>
          <t>A</t>
        </is>
      </c>
      <c r="B15" s="5" t="inlineStr">
        <is>
          <t>VOICE ASSISTANCE INTEGRATION</t>
        </is>
      </c>
      <c r="C15" s="5">
        <f>'INNOVATION LAB'!B15</f>
        <v/>
      </c>
    </row>
    <row r="16">
      <c r="A16" s="5" t="inlineStr">
        <is>
          <t>A</t>
        </is>
      </c>
      <c r="B16" s="5" t="inlineStr">
        <is>
          <t>AUTOMATION AND PROGRAMMABILITY</t>
        </is>
      </c>
      <c r="C16" s="5">
        <f>'INNOVATION LAB'!B16</f>
        <v/>
      </c>
    </row>
    <row r="17">
      <c r="A17" s="5" t="inlineStr">
        <is>
          <t>A</t>
        </is>
      </c>
      <c r="B17" s="5" t="inlineStr">
        <is>
          <t>MULTIFUNCTIONAL ACCESSORIES</t>
        </is>
      </c>
      <c r="C17" s="5">
        <f>'INNOVATION LAB'!B17</f>
        <v/>
      </c>
    </row>
    <row r="18">
      <c r="A18" s="5" t="inlineStr">
        <is>
          <t>A</t>
        </is>
      </c>
      <c r="B18" s="5" t="inlineStr">
        <is>
          <t>MAPPING TECHNOLOGY</t>
        </is>
      </c>
      <c r="C18" s="5">
        <f>'INNOVATION LAB'!B18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CROSS-REFERENCE SUMMARY - Upstream Support</t>
        </is>
      </c>
    </row>
    <row r="2">
      <c r="A2" s="14" t="inlineStr">
        <is>
          <t>Key metrics from Production and Finance.</t>
        </is>
      </c>
    </row>
    <row r="4">
      <c r="A4" s="31" t="inlineStr">
        <is>
          <t>Production (Capacity)</t>
        </is>
      </c>
    </row>
    <row r="5">
      <c r="A5" s="5" t="inlineStr">
        <is>
          <t>Production Plan (Total Units)</t>
        </is>
      </c>
      <c r="B5" s="5" t="inlineStr">
        <is>
          <t>13472</t>
        </is>
      </c>
    </row>
    <row r="6">
      <c r="A6" s="5" t="inlineStr">
        <is>
          <t>Avg Capacity Utilization</t>
        </is>
      </c>
      <c r="B6" s="5" t="inlineStr">
        <is>
          <t>85.0%</t>
        </is>
      </c>
    </row>
    <row r="9">
      <c r="A9" s="32" t="inlineStr">
        <is>
          <t>Finance (Budget)</t>
        </is>
      </c>
    </row>
    <row r="10">
      <c r="A10" s="5" t="inlineStr">
        <is>
          <t>Budget Status</t>
        </is>
      </c>
      <c r="B10" s="5" t="inlineStr">
        <is>
          <t>Check Finance Dashboard</t>
        </is>
      </c>
    </row>
    <row r="11">
      <c r="A11" s="5" t="inlineStr">
        <is>
          <t>Liquidity Status</t>
        </is>
      </c>
      <c r="B11" s="5" t="inlineStr">
        <is>
          <t>🟢 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2026-01-08T11:49:45Z</dcterms:created>
  <dcterms:modified xsi:type="dcterms:W3CDTF">2026-01-08T11:49:45Z</dcterms:modified>
</cp:coreProperties>
</file>