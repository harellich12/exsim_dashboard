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 PLANNING" sheetId="1" state="visible" r:id="rId1"/>
    <sheet name="COMPENSATION STRATEGY" sheetId="2" state="visible" r:id="rId2"/>
    <sheet name="LABOR COST ANALYSIS" sheetId="3" state="visible" r:id="rId3"/>
    <sheet name="UPLOAD READY PEOPLE" sheetId="4" state="visible" r:id="rId4"/>
    <sheet name="CROSS 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006100"/>
    </font>
    <font>
      <b val="1"/>
      <i val="1"/>
      <color rgb="00C00000"/>
    </font>
    <font>
      <b val="1"/>
      <color rgb="009C0006"/>
    </font>
    <font>
      <b val="1"/>
      <color rgb="00C00000"/>
    </font>
    <font>
      <i val="1"/>
      <color rgb="00C00000"/>
    </font>
    <font>
      <i val="1"/>
    </font>
  </fonts>
  <fills count="1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FFC7CE"/>
        <bgColor rgb="00FFC7CE"/>
      </patternFill>
    </fill>
    <fill>
      <patternFill patternType="solid">
        <fgColor rgb="001565C0"/>
        <bgColor rgb="001565C0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6" fillId="7" borderId="0" pivotButton="0" quotePrefix="0" xfId="0"/>
    <xf numFmtId="0" fontId="7" fillId="0" borderId="0" pivotButton="0" quotePrefix="0" xfId="0"/>
    <xf numFmtId="0" fontId="8" fillId="12" borderId="0" pivotButton="0" quotePrefix="0" xfId="0"/>
    <xf numFmtId="164" fontId="0" fillId="5" borderId="1" pivotButton="0" quotePrefix="0" xfId="0"/>
    <xf numFmtId="165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5" fillId="0" borderId="1" pivotButton="0" quotePrefix="0" xfId="0"/>
    <xf numFmtId="0" fontId="4" fillId="13" borderId="0" pivotButton="0" quotePrefix="0" xfId="0"/>
    <xf numFmtId="0" fontId="4" fillId="14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The Strike Zone: Salary vs Inflation</a:t>
            </a:r>
          </a:p>
        </rich>
      </tx>
    </title>
    <plotArea>
      <lineChart>
        <grouping val="standard"/>
        <ser>
          <idx val="0"/>
          <order val="0"/>
          <tx>
            <v>Proposed Salary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 STRATEGY'!$A$11:$A$15</f>
            </numRef>
          </cat>
          <val>
            <numRef>
              <f>'COMPENSATION STRATEGY'!$D$11:$D$15</f>
            </numRef>
          </val>
        </ser>
        <ser>
          <idx val="1"/>
          <order val="1"/>
          <tx>
            <v>Inflation Floor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 STRATEGY'!$A$11:$A$15</f>
            </numRef>
          </cat>
          <val>
            <numRef>
              <f>'COMPENSATION STRATEGY'!$C$11:$C$15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Salary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Labor Cost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'LABOR COST ANALYSIS'!$A$10:$A$15</f>
            </numRef>
          </cat>
          <val>
            <numRef>
              <f>'LABOR COST 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1600</v>
      </c>
      <c r="C5" s="2" t="inlineStr">
        <is>
          <t>Benchmark (Sales Hire): $1,100</t>
        </is>
      </c>
    </row>
    <row r="6">
      <c r="A6" t="inlineStr">
        <is>
          <t>Est. Severance (per worker)</t>
        </is>
      </c>
      <c r="B6" s="4" t="n">
        <v>2000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  <row r="18">
      <c r="A18" s="3" t="inlineStr">
        <is>
          <t>COST OPTIMIZER: HIRE vs OVERTIME</t>
        </is>
      </c>
    </row>
    <row r="19">
      <c r="A19" s="18" t="inlineStr">
        <is>
          <t>Global Workforce Deficit (Workers)</t>
        </is>
      </c>
      <c r="B19" s="10">
        <f>MAX(0, C15 - F15)</f>
        <v/>
      </c>
    </row>
    <row r="20">
      <c r="A20" s="19" t="inlineStr">
        <is>
          <t>Strategy A: HIRE NEW STAFF</t>
        </is>
      </c>
    </row>
    <row r="21">
      <c r="A21" s="18" t="inlineStr">
        <is>
          <t>Total Cost (Upfront + Salary)</t>
        </is>
      </c>
      <c r="B21" s="20">
        <f>B19*($B$5 + 650)</f>
        <v/>
      </c>
    </row>
    <row r="22">
      <c r="A22" s="19" t="inlineStr">
        <is>
          <t>Strategy B: OVERTIME</t>
        </is>
      </c>
    </row>
    <row r="23">
      <c r="A23" s="18" t="inlineStr">
        <is>
          <t>Max Overtime Capacity (Workers eq.)</t>
        </is>
      </c>
      <c r="B23" s="10">
        <f>F15*0.2</f>
        <v/>
      </c>
    </row>
    <row r="24">
      <c r="A24" s="18" t="inlineStr">
        <is>
          <t>Cost (Salary x 1.4)</t>
        </is>
      </c>
      <c r="B24" s="20">
        <f>MIN(B19, B23) * 650 * 1.4</f>
        <v/>
      </c>
    </row>
    <row r="25">
      <c r="A25" s="19" t="inlineStr">
        <is>
          <t>RECOMMENDATION:</t>
        </is>
      </c>
      <c r="B25" s="21">
        <f>IF(B19&gt;B23, "MUST HIRE (Capacity Exceeded)", IF(B24&lt;B21, "USE OVERTIME (Cheaper)", "HIRE (Cheaper)"))</f>
        <v/>
      </c>
    </row>
  </sheetData>
  <conditionalFormatting sqref="F10:F14">
    <cfRule type="iconSet" priority="1">
      <iconSet iconSet="3Arrows" showValue="1" percent="0" reverse="0">
        <cfvo type="num" val="0"/>
        <cfvo type="num" val="10"/>
        <cfvo type="num" val="20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22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5">
      <c r="A5" s="23" t="inlineStr">
        <is>
          <t>HIGH ABSENTEEISM DETECTED. RISK OF STRIKE OR LOW CAPACITY. INCREASE HEALTH &amp; SAFETY BUDGET.</t>
        </is>
      </c>
    </row>
    <row r="6">
      <c r="A6" t="inlineStr">
        <is>
          <t>Inflation Rate %</t>
        </is>
      </c>
      <c r="B6" s="9" t="n">
        <v>0.03</v>
      </c>
      <c r="C6" s="22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Inflation Floor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24" t="n">
        <v>650</v>
      </c>
      <c r="C11" s="11">
        <f>B11*(1+$B$6)</f>
        <v/>
      </c>
      <c r="D11" s="4" t="n">
        <v>676</v>
      </c>
      <c r="E11" s="18">
        <f>IF(OR(D11&lt;C11, D11&lt;650),"STRIKE RISK!","OK")</f>
        <v/>
      </c>
      <c r="F11" s="25">
        <f>IF(B11&gt;0,(D11/B11)-1-$B$6,0)</f>
        <v/>
      </c>
    </row>
    <row r="12">
      <c r="A12" s="13" t="inlineStr">
        <is>
          <t>West</t>
        </is>
      </c>
      <c r="B12" s="24" t="n">
        <v>650</v>
      </c>
      <c r="C12" s="11">
        <f>B12*(1+$B$6)</f>
        <v/>
      </c>
      <c r="D12" s="4" t="n">
        <v>676</v>
      </c>
      <c r="E12" s="18">
        <f>IF(OR(D12&lt;C12, D12&lt;650),"STRIKE RISK!","OK")</f>
        <v/>
      </c>
      <c r="F12" s="25">
        <f>IF(B12&gt;0,(D12/B12)-1-$B$6,0)</f>
        <v/>
      </c>
    </row>
    <row r="13">
      <c r="A13" s="14" t="inlineStr">
        <is>
          <t>North</t>
        </is>
      </c>
      <c r="B13" s="24" t="n">
        <v>650</v>
      </c>
      <c r="C13" s="11">
        <f>B13*(1+$B$6)</f>
        <v/>
      </c>
      <c r="D13" s="4" t="n">
        <v>676</v>
      </c>
      <c r="E13" s="18">
        <f>IF(OR(D13&lt;C13, D13&lt;650),"STRIKE RISK!","OK")</f>
        <v/>
      </c>
      <c r="F13" s="25">
        <f>IF(B13&gt;0,(D13/B13)-1-$B$6,0)</f>
        <v/>
      </c>
    </row>
    <row r="14">
      <c r="A14" s="15" t="inlineStr">
        <is>
          <t>East</t>
        </is>
      </c>
      <c r="B14" s="24" t="n">
        <v>650</v>
      </c>
      <c r="C14" s="11">
        <f>B14*(1+$B$6)</f>
        <v/>
      </c>
      <c r="D14" s="4" t="n">
        <v>676</v>
      </c>
      <c r="E14" s="18">
        <f>IF(OR(D14&lt;C14, D14&lt;650),"STRIKE RISK!","OK")</f>
        <v/>
      </c>
      <c r="F14" s="25">
        <f>IF(B14&gt;0,(D14/B14)-1-$B$6,0)</f>
        <v/>
      </c>
    </row>
    <row r="15">
      <c r="A15" s="16" t="inlineStr">
        <is>
          <t>South</t>
        </is>
      </c>
      <c r="B15" s="24" t="n">
        <v>650</v>
      </c>
      <c r="C15" s="11">
        <f>B15*(1+$B$6)</f>
        <v/>
      </c>
      <c r="D15" s="4" t="n">
        <v>676</v>
      </c>
      <c r="E15" s="18">
        <f>IF(OR(D15&lt;C15, D15&lt;650),"STRIKE RISK!","OK")</f>
        <v/>
      </c>
      <c r="F15" s="25">
        <f>IF(B15&gt;0,(D15/B15)-1-$B$6,0)</f>
        <v/>
      </c>
    </row>
    <row r="17">
      <c r="A17" s="26" t="inlineStr">
        <is>
          <t>MOTIVATION ALERT:</t>
        </is>
      </c>
    </row>
    <row r="18">
      <c r="A18" s="27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8" t="inlineStr">
        <is>
          <t>Benefit Type</t>
        </is>
      </c>
      <c r="B22" s="28" t="inlineStr">
        <is>
          <t>Decision Value</t>
        </is>
      </c>
      <c r="C22" s="28" t="inlineStr">
        <is>
          <t>Notes</t>
        </is>
      </c>
    </row>
    <row r="23">
      <c r="A23" s="18" t="inlineStr">
        <is>
          <t>Training Budget (% of Payroll)</t>
        </is>
      </c>
      <c r="B23" s="9" t="n">
        <v>0</v>
      </c>
      <c r="C23" s="29" t="inlineStr">
        <is>
          <t>Low = More defects</t>
        </is>
      </c>
    </row>
    <row r="24">
      <c r="A24" s="18" t="inlineStr">
        <is>
          <t>Health Insurance (% of Payroll)</t>
        </is>
      </c>
      <c r="B24" s="9" t="n">
        <v>0</v>
      </c>
      <c r="C24" s="29" t="inlineStr">
        <is>
          <t>Reduces absenteeism</t>
        </is>
      </c>
    </row>
    <row r="25">
      <c r="A25" s="18" t="inlineStr">
        <is>
          <t>Profit Sharing (% of Net Profit)</t>
        </is>
      </c>
      <c r="B25" s="9" t="n">
        <v>0</v>
      </c>
      <c r="C25" s="29" t="inlineStr">
        <is>
          <t>Paid on net profit</t>
        </is>
      </c>
    </row>
    <row r="26">
      <c r="A26" s="18" t="inlineStr">
        <is>
          <t>Personal Days (per Worker)</t>
        </is>
      </c>
      <c r="B26" s="8" t="n">
        <v>0</v>
      </c>
      <c r="C26" s="29" t="inlineStr">
        <is>
          <t>Labor requirement</t>
        </is>
      </c>
    </row>
    <row r="27">
      <c r="A27" s="18" t="inlineStr">
        <is>
          <t>Union Representatives</t>
        </is>
      </c>
      <c r="B27" s="8" t="n">
        <v>0</v>
      </c>
      <c r="C27" s="29" t="inlineStr">
        <is>
          <t>Labor requirement</t>
        </is>
      </c>
    </row>
    <row r="28">
      <c r="A28" s="18" t="inlineStr">
        <is>
          <t>Reduction in Working Hours (%)</t>
        </is>
      </c>
      <c r="B28" s="9" t="n">
        <v>0</v>
      </c>
      <c r="C28" s="29" t="inlineStr">
        <is>
          <t>Reduces capacity</t>
        </is>
      </c>
    </row>
    <row r="29">
      <c r="A29" s="18" t="inlineStr">
        <is>
          <t>Off-Days for Workers</t>
        </is>
      </c>
      <c r="B29" s="8" t="n">
        <v>0</v>
      </c>
      <c r="C29" s="29" t="inlineStr">
        <is>
          <t>Extra days off</t>
        </is>
      </c>
    </row>
  </sheetData>
  <conditionalFormatting sqref="D11:D15">
    <cfRule type="expression" priority="1" dxfId="0">
      <formula>D11&lt;C11</formula>
    </cfRule>
  </conditionalFormatting>
  <conditionalFormatting sqref="E11:E15">
    <cfRule type="expression" priority="2" dxfId="1">
      <formula>E11="STRIKE RISK!"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24" t="n">
        <v>236412</v>
      </c>
    </row>
    <row r="7">
      <c r="A7" s="3" t="inlineStr">
        <is>
          <t>COST BREAKDOWN</t>
        </is>
      </c>
    </row>
    <row r="8">
      <c r="A8" s="28" t="inlineStr">
        <is>
          <t>Cost Category</t>
        </is>
      </c>
      <c r="B8" s="28" t="inlineStr">
        <is>
          <t>Calculation</t>
        </is>
      </c>
      <c r="C8" s="28" t="inlineStr">
        <is>
          <t>Amount</t>
        </is>
      </c>
    </row>
    <row r="9">
      <c r="A9" s="18" t="inlineStr">
        <is>
          <t>Total Planned Factory Headcount</t>
        </is>
      </c>
      <c r="B9" s="7">
        <f>WORKFORCE_PLANNING!C15</f>
        <v/>
      </c>
      <c r="C9" s="10">
        <f>B9</f>
        <v/>
      </c>
    </row>
    <row r="10">
      <c r="A10" s="18" t="inlineStr">
        <is>
          <t>Factory Base Salaries</t>
        </is>
      </c>
      <c r="B10" s="11">
        <f>B9*AVERAGE(COMPENSATION_STRATEGY!D11:D15)*8</f>
        <v/>
      </c>
      <c r="C10" s="11">
        <f>B10</f>
        <v/>
      </c>
    </row>
    <row r="11">
      <c r="A11" s="18" t="inlineStr">
        <is>
          <t>Overtime &amp; Bonuses</t>
        </is>
      </c>
      <c r="B11" s="24" t="n">
        <v>0</v>
      </c>
      <c r="C11" s="11">
        <f>B11</f>
        <v/>
      </c>
    </row>
    <row r="12">
      <c r="A12" s="18" t="inlineStr">
        <is>
          <t>Training &amp; Benefits</t>
        </is>
      </c>
      <c r="B12" s="11">
        <f>COMPENSATION_STRATEGY!B23*C10 + COMPENSATION_STRATEGY!B24*C10</f>
        <v/>
      </c>
      <c r="C12" s="11">
        <f>B12</f>
        <v/>
      </c>
    </row>
    <row r="13">
      <c r="A13" s="18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18" t="inlineStr">
        <is>
          <t>Hiring &amp; Firing</t>
        </is>
      </c>
      <c r="B14" s="24">
        <f>WORKFORCE_PLANNING!K15</f>
        <v/>
      </c>
      <c r="C14" s="11">
        <f>B14</f>
        <v/>
      </c>
    </row>
    <row r="15">
      <c r="A15" s="30" t="inlineStr">
        <is>
          <t>SALESFORCE PAYROLL (Fixed)</t>
        </is>
      </c>
      <c r="B15" s="24" t="n">
        <v>0</v>
      </c>
      <c r="C15" s="11">
        <f>B15</f>
        <v/>
      </c>
      <c r="D15" s="2" t="inlineStr">
        <is>
          <t>Based on 0 salespeople @ $750/person (Admin Report)</t>
        </is>
      </c>
    </row>
    <row r="16">
      <c r="A16" s="19" t="inlineStr">
        <is>
          <t>TOTAL PEOPLE EXPENSE</t>
        </is>
      </c>
      <c r="C16" s="12">
        <f>SUM(C10:C14)</f>
        <v/>
      </c>
    </row>
    <row r="18">
      <c r="A18" s="18" t="inlineStr">
        <is>
          <t>Variance vs Previous Period</t>
        </is>
      </c>
      <c r="C18" s="11">
        <f>C16-B5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</row>
    <row r="5">
      <c r="A5" s="28" t="inlineStr">
        <is>
          <t>Zone</t>
        </is>
      </c>
      <c r="B5" s="28" t="inlineStr">
        <is>
          <t>Salary</t>
        </is>
      </c>
      <c r="D5" s="28" t="inlineStr">
        <is>
          <t>Benefit</t>
        </is>
      </c>
      <c r="E5" s="28" t="inlineStr">
        <is>
          <t>Value</t>
        </is>
      </c>
    </row>
    <row r="6">
      <c r="A6" s="6" t="inlineStr">
        <is>
          <t>Center</t>
        </is>
      </c>
      <c r="B6" s="11">
        <f>COMPENSATION_STRATEGY!D11</f>
        <v/>
      </c>
      <c r="D6" s="18" t="inlineStr">
        <is>
          <t>Training Budget (% of Payroll)</t>
        </is>
      </c>
      <c r="E6" s="10">
        <f>COMPENSATION_STRATEGY!B23</f>
        <v/>
      </c>
    </row>
    <row r="7">
      <c r="A7" s="13" t="inlineStr">
        <is>
          <t>West</t>
        </is>
      </c>
      <c r="B7" s="11">
        <f>COMPENSATION_STRATEGY!D12</f>
        <v/>
      </c>
      <c r="D7" s="18" t="inlineStr">
        <is>
          <t>Health Insurance (% of Payroll)</t>
        </is>
      </c>
      <c r="E7" s="10">
        <f>COMPENSATION_STRATEGY!B24</f>
        <v/>
      </c>
    </row>
    <row r="8">
      <c r="A8" s="14" t="inlineStr">
        <is>
          <t>North</t>
        </is>
      </c>
      <c r="B8" s="11">
        <f>COMPENSATION_STRATEGY!D13</f>
        <v/>
      </c>
      <c r="D8" s="18" t="inlineStr">
        <is>
          <t>Profit Sharing (% of Net Profit)</t>
        </is>
      </c>
      <c r="E8" s="10">
        <f>COMPENSATION_STRATEGY!B25</f>
        <v/>
      </c>
    </row>
    <row r="9">
      <c r="A9" s="15" t="inlineStr">
        <is>
          <t>East</t>
        </is>
      </c>
      <c r="B9" s="11">
        <f>COMPENSATION_STRATEGY!D14</f>
        <v/>
      </c>
      <c r="D9" s="18" t="inlineStr">
        <is>
          <t>Personal Days (per Worker)</t>
        </is>
      </c>
      <c r="E9" s="10">
        <f>COMPENSATION_STRATEGY!B26</f>
        <v/>
      </c>
    </row>
    <row r="10">
      <c r="A10" s="16" t="inlineStr">
        <is>
          <t>South</t>
        </is>
      </c>
      <c r="B10" s="11">
        <f>COMPENSATION_STRATEGY!D15</f>
        <v/>
      </c>
      <c r="D10" s="18" t="inlineStr">
        <is>
          <t>Union Representatives</t>
        </is>
      </c>
      <c r="E10" s="10">
        <f>COMPENSATION_STRATEGY!B27</f>
        <v/>
      </c>
    </row>
    <row r="11">
      <c r="D11" s="18" t="inlineStr">
        <is>
          <t>Reduction in Working Hours (%)</t>
        </is>
      </c>
      <c r="E11" s="10">
        <f>COMPENSATION_STRATEGY!B28</f>
        <v/>
      </c>
    </row>
    <row r="12">
      <c r="D12" s="18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CROSS-REFERENCE SUMMARY - Upstream Support</t>
        </is>
      </c>
    </row>
    <row r="2">
      <c r="A2" s="2" t="inlineStr">
        <is>
          <t>Key metrics from Production and Finance.</t>
        </is>
      </c>
    </row>
    <row r="4">
      <c r="A4" s="31" t="inlineStr">
        <is>
          <t>Production (Targets)</t>
        </is>
      </c>
    </row>
    <row r="5">
      <c r="A5" s="18" t="inlineStr">
        <is>
          <t>Total Production Target</t>
        </is>
      </c>
      <c r="B5" s="18" t="inlineStr">
        <is>
          <t>31200</t>
        </is>
      </c>
    </row>
    <row r="6">
      <c r="A6" s="18" t="inlineStr">
        <is>
          <t>Overtime Hours</t>
        </is>
      </c>
      <c r="B6" s="18" t="inlineStr">
        <is>
          <t>0</t>
        </is>
      </c>
    </row>
    <row r="9">
      <c r="A9" s="32" t="inlineStr">
        <is>
          <t>Finance (Payroll Budget)</t>
        </is>
      </c>
    </row>
    <row r="10">
      <c r="A10" s="18" t="inlineStr">
        <is>
          <t>Cash Availability</t>
        </is>
      </c>
      <c r="B10" s="18" t="inlineStr">
        <is>
          <t>Check Finance Dashboard</t>
        </is>
      </c>
    </row>
    <row r="11">
      <c r="A11" s="18" t="inlineStr">
        <is>
          <t>Liquidity Status</t>
        </is>
      </c>
      <c r="B11" s="18" t="inlineStr">
        <is>
          <t>LOW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2026-01-05T15:22:52Z</dcterms:created>
  <dcterms:modified xsi:type="dcterms:W3CDTF">2026-01-05T15:22:52Z</dcterms:modified>
</cp:coreProperties>
</file>