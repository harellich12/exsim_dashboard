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ORCE PLANNING" sheetId="1" state="visible" r:id="rId1"/>
    <sheet name="COMPENSATION STRATEGY" sheetId="2" state="visible" r:id="rId2"/>
    <sheet name="LABOR COST ANALYSIS" sheetId="3" state="visible" r:id="rId3"/>
    <sheet name="UPLOAD READY PEOPLE" sheetId="4" state="visible" r:id="rId4"/>
    <sheet name="CROSS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2F5496"/>
      <sz val="12"/>
    </font>
    <font>
      <b val="1"/>
      <color rgb="00FFFFFF"/>
    </font>
    <font>
      <b val="1"/>
    </font>
    <font>
      <b val="1"/>
      <color rgb="00006100"/>
    </font>
    <font>
      <b val="1"/>
      <i val="1"/>
      <color rgb="00C00000"/>
    </font>
    <font>
      <b val="1"/>
      <color rgb="009C0006"/>
    </font>
    <font>
      <b val="1"/>
      <color rgb="00C00000"/>
    </font>
    <font>
      <i val="1"/>
      <color rgb="00C00000"/>
    </font>
    <font>
      <i val="1"/>
    </font>
  </fonts>
  <fills count="1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E480E"/>
        <bgColor rgb="009E480E"/>
      </patternFill>
    </fill>
    <fill>
      <patternFill patternType="solid">
        <fgColor rgb="00FFC7CE"/>
        <bgColor rgb="00FFC7CE"/>
      </patternFill>
    </fill>
    <fill>
      <patternFill patternType="solid">
        <fgColor rgb="001565C0"/>
        <bgColor rgb="001565C0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0" fontId="4" fillId="3" borderId="1" applyAlignment="1" pivotButton="0" quotePrefix="0" xfId="0">
      <alignment horizontal="center" wrapText="1"/>
    </xf>
    <xf numFmtId="0" fontId="4" fillId="4" borderId="1" pivotButton="0" quotePrefix="0" xfId="0"/>
    <xf numFmtId="0" fontId="0" fillId="5" borderId="1" pivotButton="0" quotePrefix="0" xfId="0"/>
    <xf numFmtId="0" fontId="0" fillId="2" borderId="1" pivotButton="0" quotePrefix="0" xfId="0"/>
    <xf numFmtId="165" fontId="0" fillId="2" borderId="1" pivotButton="0" quotePrefix="0" xfId="0"/>
    <xf numFmtId="0" fontId="0" fillId="6" borderId="1" pivotButton="0" quotePrefix="0" xfId="0"/>
    <xf numFmtId="164" fontId="0" fillId="6" borderId="1" pivotButton="0" quotePrefix="0" xfId="0"/>
    <xf numFmtId="164" fontId="5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5" fillId="7" borderId="1" pivotButton="0" quotePrefix="0" xfId="0"/>
    <xf numFmtId="0" fontId="0" fillId="0" borderId="1" pivotButton="0" quotePrefix="0" xfId="0"/>
    <xf numFmtId="0" fontId="5" fillId="0" borderId="0" pivotButton="0" quotePrefix="0" xfId="0"/>
    <xf numFmtId="164" fontId="0" fillId="0" borderId="1" pivotButton="0" quotePrefix="0" xfId="0"/>
    <xf numFmtId="0" fontId="6" fillId="7" borderId="0" pivotButton="0" quotePrefix="0" xfId="0"/>
    <xf numFmtId="0" fontId="7" fillId="0" borderId="0" pivotButton="0" quotePrefix="0" xfId="0"/>
    <xf numFmtId="0" fontId="8" fillId="12" borderId="0" pivotButton="0" quotePrefix="0" xfId="0"/>
    <xf numFmtId="164" fontId="0" fillId="5" borderId="1" pivotButton="0" quotePrefix="0" xfId="0"/>
    <xf numFmtId="165" fontId="0" fillId="6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3" borderId="1" pivotButton="0" quotePrefix="0" xfId="0"/>
    <xf numFmtId="0" fontId="11" fillId="0" borderId="0" pivotButton="0" quotePrefix="0" xfId="0"/>
    <xf numFmtId="0" fontId="5" fillId="0" borderId="1" pivotButton="0" quotePrefix="0" xfId="0"/>
    <xf numFmtId="0" fontId="4" fillId="13" borderId="0" pivotButton="0" quotePrefix="0" xfId="0"/>
    <xf numFmtId="0" fontId="4" fillId="14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The Strike Zone: Salary vs Inflation</a:t>
            </a:r>
          </a:p>
        </rich>
      </tx>
    </title>
    <plotArea>
      <lineChart>
        <grouping val="standard"/>
        <ser>
          <idx val="0"/>
          <order val="0"/>
          <tx>
            <v>Proposed Salary</v>
          </tx>
          <spPr>
            <a:ln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'COMPENSATION STRATEGY'!$A$11:$A$15</f>
            </numRef>
          </cat>
          <val>
            <numRef>
              <f>'COMPENSATION STRATEGY'!$D$11:$D$15</f>
            </numRef>
          </val>
        </ser>
        <ser>
          <idx val="1"/>
          <order val="1"/>
          <tx>
            <v>Inflation Floor</v>
          </tx>
          <spPr>
            <a:ln w="20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'COMPENSATION STRATEGY'!$A$11:$A$15</f>
            </numRef>
          </cat>
          <val>
            <numRef>
              <f>'COMPENSATION STRATEGY'!$C$11:$C$15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Salary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Labor Cost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'LABOR COST ANALYSIS'!$A$10:$A$15</f>
            </numRef>
          </cat>
          <val>
            <numRef>
              <f>'LABOR COST ANALYSIS'!$C$10:$C$15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WORKFORCE PLANNING - Headcount Management</t>
        </is>
      </c>
    </row>
    <row r="2">
      <c r="A2" s="2" t="inlineStr">
        <is>
          <t>Yellow cells = User inputs. Green = Outputs for Finance.</t>
        </is>
      </c>
    </row>
    <row r="4">
      <c r="A4" s="3" t="inlineStr">
        <is>
          <t>COST PARAMETERS</t>
        </is>
      </c>
    </row>
    <row r="5">
      <c r="A5" t="inlineStr">
        <is>
          <t>Est. Hiring Fee (per worker)</t>
        </is>
      </c>
      <c r="B5" s="4" t="n">
        <v>240</v>
      </c>
      <c r="C5" s="2" t="inlineStr">
        <is>
          <t>Benchmark (Sales Hire): $1,100</t>
        </is>
      </c>
    </row>
    <row r="6">
      <c r="A6" t="inlineStr">
        <is>
          <t>Est. Severance (per worker)</t>
        </is>
      </c>
      <c r="B6" s="4" t="n">
        <v>2000</v>
      </c>
    </row>
    <row r="8">
      <c r="A8" s="3" t="inlineStr">
        <is>
          <t>HEADCOUNT ANALYSIS BY ZONE</t>
        </is>
      </c>
    </row>
    <row r="9">
      <c r="A9" s="5" t="inlineStr">
        <is>
          <t>Zone</t>
        </is>
      </c>
      <c r="B9" s="5" t="inlineStr">
        <is>
          <t>Current Staff</t>
        </is>
      </c>
      <c r="C9" s="5" t="inlineStr">
        <is>
          <t>Required Workers</t>
        </is>
      </c>
      <c r="D9" s="5" t="inlineStr">
        <is>
          <t>Est. Turnover %</t>
        </is>
      </c>
      <c r="E9" s="5" t="inlineStr">
        <is>
          <t>Projected Loss</t>
        </is>
      </c>
      <c r="F9" s="5" t="inlineStr">
        <is>
          <t>Net Staff</t>
        </is>
      </c>
      <c r="G9" s="5" t="inlineStr">
        <is>
          <t>Hiring Needed</t>
        </is>
      </c>
      <c r="H9" s="5" t="inlineStr">
        <is>
          <t>Firing Needed</t>
        </is>
      </c>
      <c r="I9" s="5" t="inlineStr">
        <is>
          <t>Hiring Cost</t>
        </is>
      </c>
      <c r="J9" s="5" t="inlineStr">
        <is>
          <t>Firing Cost</t>
        </is>
      </c>
      <c r="K9" s="5" t="inlineStr">
        <is>
          <t>Net Change Cost</t>
        </is>
      </c>
    </row>
    <row r="10">
      <c r="A10" s="6" t="inlineStr">
        <is>
          <t>Center</t>
        </is>
      </c>
      <c r="B10" s="7" t="n">
        <v>219</v>
      </c>
      <c r="C10" s="8" t="n">
        <v>219</v>
      </c>
      <c r="D10" s="9" t="n">
        <v>0</v>
      </c>
      <c r="E10" s="10">
        <f>B10*D10</f>
        <v/>
      </c>
      <c r="F10" s="10">
        <f>B10-E10</f>
        <v/>
      </c>
      <c r="G10" s="10">
        <f>MAX(0,C10-F10)</f>
        <v/>
      </c>
      <c r="H10" s="10">
        <f>MAX(0,F10-C10)</f>
        <v/>
      </c>
      <c r="I10" s="11">
        <f>G10*$B$5</f>
        <v/>
      </c>
      <c r="J10" s="11">
        <f>H10*$B$6</f>
        <v/>
      </c>
      <c r="K10" s="12">
        <f>I10+J10</f>
        <v/>
      </c>
    </row>
    <row r="11">
      <c r="A11" s="13" t="inlineStr">
        <is>
          <t>West</t>
        </is>
      </c>
      <c r="B11" s="7" t="n">
        <v>71</v>
      </c>
      <c r="C11" s="8" t="n">
        <v>71</v>
      </c>
      <c r="D11" s="9" t="n">
        <v>0</v>
      </c>
      <c r="E11" s="10">
        <f>B11*D11</f>
        <v/>
      </c>
      <c r="F11" s="10">
        <f>B11-E11</f>
        <v/>
      </c>
      <c r="G11" s="10">
        <f>MAX(0,C11-F11)</f>
        <v/>
      </c>
      <c r="H11" s="10">
        <f>MAX(0,F11-C11)</f>
        <v/>
      </c>
      <c r="I11" s="11">
        <f>G11*$B$5</f>
        <v/>
      </c>
      <c r="J11" s="11">
        <f>H11*$B$6</f>
        <v/>
      </c>
      <c r="K11" s="12">
        <f>I11+J11</f>
        <v/>
      </c>
    </row>
    <row r="12">
      <c r="A12" s="14" t="inlineStr">
        <is>
          <t>North</t>
        </is>
      </c>
      <c r="B12" s="7" t="n">
        <v>0</v>
      </c>
      <c r="C12" s="8" t="n">
        <v>0</v>
      </c>
      <c r="D12" s="9" t="n">
        <v>0</v>
      </c>
      <c r="E12" s="10">
        <f>B12*D12</f>
        <v/>
      </c>
      <c r="F12" s="10">
        <f>B12-E12</f>
        <v/>
      </c>
      <c r="G12" s="10">
        <f>MAX(0,C12-F12)</f>
        <v/>
      </c>
      <c r="H12" s="10">
        <f>MAX(0,F12-C12)</f>
        <v/>
      </c>
      <c r="I12" s="11">
        <f>G12*$B$5</f>
        <v/>
      </c>
      <c r="J12" s="11">
        <f>H12*$B$6</f>
        <v/>
      </c>
      <c r="K12" s="12">
        <f>I12+J12</f>
        <v/>
      </c>
    </row>
    <row r="13">
      <c r="A13" s="15" t="inlineStr">
        <is>
          <t>East</t>
        </is>
      </c>
      <c r="B13" s="7" t="n">
        <v>0</v>
      </c>
      <c r="C13" s="8" t="n">
        <v>0</v>
      </c>
      <c r="D13" s="9" t="n">
        <v>0</v>
      </c>
      <c r="E13" s="10">
        <f>B13*D13</f>
        <v/>
      </c>
      <c r="F13" s="10">
        <f>B13-E13</f>
        <v/>
      </c>
      <c r="G13" s="10">
        <f>MAX(0,C13-F13)</f>
        <v/>
      </c>
      <c r="H13" s="10">
        <f>MAX(0,F13-C13)</f>
        <v/>
      </c>
      <c r="I13" s="11">
        <f>G13*$B$5</f>
        <v/>
      </c>
      <c r="J13" s="11">
        <f>H13*$B$6</f>
        <v/>
      </c>
      <c r="K13" s="12">
        <f>I13+J13</f>
        <v/>
      </c>
    </row>
    <row r="14">
      <c r="A14" s="16" t="inlineStr">
        <is>
          <t>South</t>
        </is>
      </c>
      <c r="B14" s="7" t="n">
        <v>0</v>
      </c>
      <c r="C14" s="8" t="n">
        <v>0</v>
      </c>
      <c r="D14" s="9" t="n">
        <v>0</v>
      </c>
      <c r="E14" s="10">
        <f>B14*D14</f>
        <v/>
      </c>
      <c r="F14" s="10">
        <f>B14-E14</f>
        <v/>
      </c>
      <c r="G14" s="10">
        <f>MAX(0,C14-F14)</f>
        <v/>
      </c>
      <c r="H14" s="10">
        <f>MAX(0,F14-C14)</f>
        <v/>
      </c>
      <c r="I14" s="11">
        <f>G14*$B$5</f>
        <v/>
      </c>
      <c r="J14" s="11">
        <f>H14*$B$6</f>
        <v/>
      </c>
      <c r="K14" s="12">
        <f>I14+J14</f>
        <v/>
      </c>
    </row>
    <row r="15">
      <c r="A15" s="17" t="inlineStr">
        <is>
          <t>TOTAL</t>
        </is>
      </c>
      <c r="B15" s="17">
        <f>SUM(B10:B14)</f>
        <v/>
      </c>
      <c r="C15" s="17">
        <f>SUM(C10:C14)</f>
        <v/>
      </c>
      <c r="D15" s="17">
        <f>SUM(D10:D14)</f>
        <v/>
      </c>
      <c r="E15" s="17">
        <f>SUM(E10:E14)</f>
        <v/>
      </c>
      <c r="F15" s="17">
        <f>SUM(F10:F14)</f>
        <v/>
      </c>
      <c r="G15" s="17">
        <f>SUM(G10:G14)</f>
        <v/>
      </c>
      <c r="H15" s="17">
        <f>SUM(H10:H14)</f>
        <v/>
      </c>
      <c r="I15" s="12">
        <f>SUM(I10:I14)</f>
        <v/>
      </c>
      <c r="J15" s="12">
        <f>SUM(J10:J14)</f>
        <v/>
      </c>
      <c r="K15" s="12">
        <f>SUM(K10:K14)</f>
        <v/>
      </c>
    </row>
    <row r="18">
      <c r="A18" s="3" t="inlineStr">
        <is>
          <t>COST OPTIMIZER: HIRE vs OVERTIME</t>
        </is>
      </c>
    </row>
    <row r="19">
      <c r="A19" s="18" t="inlineStr">
        <is>
          <t>Global Workforce Deficit (Workers)</t>
        </is>
      </c>
      <c r="B19" s="10">
        <f>MAX(0, C15 - F15)</f>
        <v/>
      </c>
    </row>
    <row r="20">
      <c r="A20" s="19" t="inlineStr">
        <is>
          <t>Strategy A: HIRE NEW STAFF</t>
        </is>
      </c>
    </row>
    <row r="21">
      <c r="A21" s="18" t="inlineStr">
        <is>
          <t>Total Cost (Upfront + Salary)</t>
        </is>
      </c>
      <c r="B21" s="20">
        <f>B19*($B$5 + 650)</f>
        <v/>
      </c>
    </row>
    <row r="22">
      <c r="A22" s="19" t="inlineStr">
        <is>
          <t>Strategy B: OVERTIME</t>
        </is>
      </c>
    </row>
    <row r="23">
      <c r="A23" s="18" t="inlineStr">
        <is>
          <t>Max Overtime Capacity (Workers eq.)</t>
        </is>
      </c>
      <c r="B23" s="10">
        <f>F15*0.2</f>
        <v/>
      </c>
    </row>
    <row r="24">
      <c r="A24" s="18" t="inlineStr">
        <is>
          <t>Cost (Salary x 1.4)</t>
        </is>
      </c>
      <c r="B24" s="20">
        <f>MIN(B19, B23) * 650 * 1.4</f>
        <v/>
      </c>
    </row>
    <row r="25">
      <c r="A25" s="19" t="inlineStr">
        <is>
          <t>RECOMMENDATION:</t>
        </is>
      </c>
      <c r="B25" s="21">
        <f>IF(B19&gt;B23, "MUST HIRE (Capacity Exceeded)", IF(B24&lt;B21, "USE OVERTIME (Cheaper)", "HIRE (Cheaper)"))</f>
        <v/>
      </c>
    </row>
  </sheetData>
  <conditionalFormatting sqref="F10:F14">
    <cfRule type="iconSet" priority="1">
      <iconSet iconSet="3Arrows" showValue="1" percent="0" reverse="0">
        <cfvo type="num" val="0"/>
        <cfvo type="num" val="10"/>
        <cfvo type="num" val="20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8" customWidth="1" min="3" max="3"/>
    <col width="20" customWidth="1" min="4" max="4"/>
    <col width="15" customWidth="1" min="5" max="5"/>
    <col width="18" customWidth="1" min="6" max="6"/>
  </cols>
  <sheetData>
    <row r="1">
      <c r="A1" s="1" t="inlineStr">
        <is>
          <t>COMPENSATION STRATEGY - Salaries &amp; Benefits</t>
        </is>
      </c>
    </row>
    <row r="2">
      <c r="A2" s="22" t="inlineStr">
        <is>
          <t>CRITICAL: Set Inflation Rate from Case Guide to avoid STRIKES!</t>
        </is>
      </c>
    </row>
    <row r="4">
      <c r="A4" s="3" t="inlineStr">
        <is>
          <t>SECTION A: GLOBAL PARAMETERS</t>
        </is>
      </c>
    </row>
    <row r="5">
      <c r="A5" s="23" t="inlineStr">
        <is>
          <t>HIGH ABSENTEEISM DETECTED. RISK OF STRIKE OR LOW CAPACITY. INCREASE HEALTH &amp; SAFETY BUDGET.</t>
        </is>
      </c>
    </row>
    <row r="6">
      <c r="A6" t="inlineStr">
        <is>
          <t>Inflation Rate %</t>
        </is>
      </c>
      <c r="B6" s="9" t="n">
        <v>0.03</v>
      </c>
      <c r="C6" s="22" t="inlineStr">
        <is>
          <t>&lt;-- CRITICAL: Get from Case Guide!</t>
        </is>
      </c>
    </row>
    <row r="7">
      <c r="A7" t="inlineStr">
        <is>
          <t>Target Purchasing Power Increase %</t>
        </is>
      </c>
      <c r="B7" s="9" t="n">
        <v>0</v>
      </c>
    </row>
    <row r="9">
      <c r="A9" s="3" t="inlineStr">
        <is>
          <t>SECTION B: SALARY DECISIONS (Per Zone)</t>
        </is>
      </c>
    </row>
    <row r="10">
      <c r="A10" s="5" t="inlineStr">
        <is>
          <t>Zone</t>
        </is>
      </c>
      <c r="B10" s="5" t="inlineStr">
        <is>
          <t>Previous Salary</t>
        </is>
      </c>
      <c r="C10" s="5" t="inlineStr">
        <is>
          <t>Inflation Floor</t>
        </is>
      </c>
      <c r="D10" s="5" t="inlineStr">
        <is>
          <t>Proposed New Salary</t>
        </is>
      </c>
      <c r="E10" s="5" t="inlineStr">
        <is>
          <t>Strike Risk</t>
        </is>
      </c>
      <c r="F10" s="5" t="inlineStr">
        <is>
          <t>Real PPP Change</t>
        </is>
      </c>
    </row>
    <row r="11">
      <c r="A11" s="6" t="inlineStr">
        <is>
          <t>Center</t>
        </is>
      </c>
      <c r="B11" s="24" t="n">
        <v>650</v>
      </c>
      <c r="C11" s="11">
        <f>B11*(1+$B$6)</f>
        <v/>
      </c>
      <c r="D11" s="4" t="n">
        <v>676</v>
      </c>
      <c r="E11" s="18">
        <f>IF(OR(D11&lt;C11, D11&lt;650),"STRIKE RISK!","OK")</f>
        <v/>
      </c>
      <c r="F11" s="25">
        <f>IF(B11&gt;0,(D11/B11)-1-$B$6,0)</f>
        <v/>
      </c>
    </row>
    <row r="12">
      <c r="A12" s="13" t="inlineStr">
        <is>
          <t>West</t>
        </is>
      </c>
      <c r="B12" s="24" t="n">
        <v>650</v>
      </c>
      <c r="C12" s="11">
        <f>B12*(1+$B$6)</f>
        <v/>
      </c>
      <c r="D12" s="4" t="n">
        <v>676</v>
      </c>
      <c r="E12" s="18">
        <f>IF(OR(D12&lt;C12, D12&lt;650),"STRIKE RISK!","OK")</f>
        <v/>
      </c>
      <c r="F12" s="25">
        <f>IF(B12&gt;0,(D12/B12)-1-$B$6,0)</f>
        <v/>
      </c>
    </row>
    <row r="13">
      <c r="A13" s="14" t="inlineStr">
        <is>
          <t>North</t>
        </is>
      </c>
      <c r="B13" s="24" t="n">
        <v>650</v>
      </c>
      <c r="C13" s="11">
        <f>B13*(1+$B$6)</f>
        <v/>
      </c>
      <c r="D13" s="4" t="n">
        <v>676</v>
      </c>
      <c r="E13" s="18">
        <f>IF(OR(D13&lt;C13, D13&lt;650),"STRIKE RISK!","OK")</f>
        <v/>
      </c>
      <c r="F13" s="25">
        <f>IF(B13&gt;0,(D13/B13)-1-$B$6,0)</f>
        <v/>
      </c>
    </row>
    <row r="14">
      <c r="A14" s="15" t="inlineStr">
        <is>
          <t>East</t>
        </is>
      </c>
      <c r="B14" s="24" t="n">
        <v>650</v>
      </c>
      <c r="C14" s="11">
        <f>B14*(1+$B$6)</f>
        <v/>
      </c>
      <c r="D14" s="4" t="n">
        <v>676</v>
      </c>
      <c r="E14" s="18">
        <f>IF(OR(D14&lt;C14, D14&lt;650),"STRIKE RISK!","OK")</f>
        <v/>
      </c>
      <c r="F14" s="25">
        <f>IF(B14&gt;0,(D14/B14)-1-$B$6,0)</f>
        <v/>
      </c>
    </row>
    <row r="15">
      <c r="A15" s="16" t="inlineStr">
        <is>
          <t>South</t>
        </is>
      </c>
      <c r="B15" s="24" t="n">
        <v>650</v>
      </c>
      <c r="C15" s="11">
        <f>B15*(1+$B$6)</f>
        <v/>
      </c>
      <c r="D15" s="4" t="n">
        <v>676</v>
      </c>
      <c r="E15" s="18">
        <f>IF(OR(D15&lt;C15, D15&lt;650),"STRIKE RISK!","OK")</f>
        <v/>
      </c>
      <c r="F15" s="25">
        <f>IF(B15&gt;0,(D15/B15)-1-$B$6,0)</f>
        <v/>
      </c>
    </row>
    <row r="17">
      <c r="A17" s="26" t="inlineStr">
        <is>
          <t>MOTIVATION ALERT:</t>
        </is>
      </c>
    </row>
    <row r="18">
      <c r="A18" s="27" t="inlineStr">
        <is>
          <t>Low Training Budget increases Defective Products!</t>
        </is>
      </c>
    </row>
    <row r="19">
      <c r="A19" s="2" t="inlineStr">
        <is>
          <t>High Absenteeism may indicate low morale - consider benefits.</t>
        </is>
      </c>
    </row>
    <row r="21">
      <c r="A21" s="3" t="inlineStr">
        <is>
          <t>SECTION C: BENEFITS DECISIONS</t>
        </is>
      </c>
    </row>
    <row r="22">
      <c r="A22" s="28" t="inlineStr">
        <is>
          <t>Benefit Type</t>
        </is>
      </c>
      <c r="B22" s="28" t="inlineStr">
        <is>
          <t>Decision Value</t>
        </is>
      </c>
      <c r="C22" s="28" t="inlineStr">
        <is>
          <t>Notes</t>
        </is>
      </c>
    </row>
    <row r="23">
      <c r="A23" s="18" t="inlineStr">
        <is>
          <t>Training Budget (% of Payroll)</t>
        </is>
      </c>
      <c r="B23" s="9" t="n">
        <v>0</v>
      </c>
      <c r="C23" s="29" t="inlineStr">
        <is>
          <t>Low = More defects</t>
        </is>
      </c>
    </row>
    <row r="24">
      <c r="A24" s="18" t="inlineStr">
        <is>
          <t>Health Insurance (% of Payroll)</t>
        </is>
      </c>
      <c r="B24" s="9" t="n">
        <v>0</v>
      </c>
      <c r="C24" s="29" t="inlineStr">
        <is>
          <t>Reduces absenteeism</t>
        </is>
      </c>
    </row>
    <row r="25">
      <c r="A25" s="18" t="inlineStr">
        <is>
          <t>Profit Sharing (% of Net Profit)</t>
        </is>
      </c>
      <c r="B25" s="9" t="n">
        <v>0</v>
      </c>
      <c r="C25" s="29" t="inlineStr">
        <is>
          <t>Paid on net profit</t>
        </is>
      </c>
    </row>
    <row r="26">
      <c r="A26" s="18" t="inlineStr">
        <is>
          <t>Personal Days (per Worker)</t>
        </is>
      </c>
      <c r="B26" s="8" t="n">
        <v>0</v>
      </c>
      <c r="C26" s="29" t="inlineStr">
        <is>
          <t>Labor requirement</t>
        </is>
      </c>
    </row>
    <row r="27">
      <c r="A27" s="18" t="inlineStr">
        <is>
          <t>Union Representatives</t>
        </is>
      </c>
      <c r="B27" s="8" t="n">
        <v>0</v>
      </c>
      <c r="C27" s="29" t="inlineStr">
        <is>
          <t>Labor requirement</t>
        </is>
      </c>
    </row>
    <row r="28">
      <c r="A28" s="18" t="inlineStr">
        <is>
          <t>Reduction in Working Hours (%)</t>
        </is>
      </c>
      <c r="B28" s="9" t="n">
        <v>0</v>
      </c>
      <c r="C28" s="29" t="inlineStr">
        <is>
          <t>Reduces capacity</t>
        </is>
      </c>
    </row>
    <row r="29">
      <c r="A29" s="18" t="inlineStr">
        <is>
          <t>Off-Days for Workers</t>
        </is>
      </c>
      <c r="B29" s="8" t="n">
        <v>0</v>
      </c>
      <c r="C29" s="29" t="inlineStr">
        <is>
          <t>Extra days off</t>
        </is>
      </c>
    </row>
  </sheetData>
  <conditionalFormatting sqref="D11:D15">
    <cfRule type="expression" priority="1" dxfId="0">
      <formula>D11&lt;C11</formula>
    </cfRule>
  </conditionalFormatting>
  <conditionalFormatting sqref="E11:E15">
    <cfRule type="expression" priority="2" dxfId="1">
      <formula>E11="STRIKE RISK!"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</cols>
  <sheetData>
    <row r="1">
      <c r="A1" s="1" t="inlineStr">
        <is>
          <t>LABOR COST ANALYSIS - Total People Expense for Finance</t>
        </is>
      </c>
    </row>
    <row r="2">
      <c r="A2" s="2" t="inlineStr">
        <is>
          <t>Output for CFO to include in cash flow projections.</t>
        </is>
      </c>
    </row>
    <row r="4">
      <c r="A4" t="inlineStr">
        <is>
          <t>INPUT: Estimated Net Profit (for Profit Sharing)</t>
        </is>
      </c>
      <c r="B4" s="4" t="n">
        <v>0</v>
      </c>
    </row>
    <row r="5">
      <c r="A5" t="inlineStr">
        <is>
          <t>Previous Period Labor Cost</t>
        </is>
      </c>
      <c r="B5" s="24" t="n">
        <v>236412</v>
      </c>
    </row>
    <row r="7">
      <c r="A7" s="3" t="inlineStr">
        <is>
          <t>COST BREAKDOWN</t>
        </is>
      </c>
    </row>
    <row r="8">
      <c r="A8" s="28" t="inlineStr">
        <is>
          <t>Cost Category</t>
        </is>
      </c>
      <c r="B8" s="28" t="inlineStr">
        <is>
          <t>Calculation</t>
        </is>
      </c>
      <c r="C8" s="28" t="inlineStr">
        <is>
          <t>Amount</t>
        </is>
      </c>
    </row>
    <row r="9">
      <c r="A9" s="18" t="inlineStr">
        <is>
          <t>Total Planned Factory Headcount</t>
        </is>
      </c>
      <c r="B9" s="7">
        <f>WORKFORCE_PLANNING!C15</f>
        <v/>
      </c>
      <c r="C9" s="10">
        <f>B9</f>
        <v/>
      </c>
    </row>
    <row r="10">
      <c r="A10" s="18" t="inlineStr">
        <is>
          <t>Factory Base Salaries</t>
        </is>
      </c>
      <c r="B10" s="11">
        <f>B9*AVERAGE(COMPENSATION_STRATEGY!D11:D15)*8</f>
        <v/>
      </c>
      <c r="C10" s="11">
        <f>B10</f>
        <v/>
      </c>
    </row>
    <row r="11">
      <c r="A11" s="18" t="inlineStr">
        <is>
          <t>Overtime &amp; Bonuses</t>
        </is>
      </c>
      <c r="B11" s="24" t="n">
        <v>0</v>
      </c>
      <c r="C11" s="11">
        <f>B11</f>
        <v/>
      </c>
    </row>
    <row r="12">
      <c r="A12" s="18" t="inlineStr">
        <is>
          <t>Training &amp; Benefits</t>
        </is>
      </c>
      <c r="B12" s="11">
        <f>COMPENSATION_STRATEGY!B23*C10 + COMPENSATION_STRATEGY!B24*C10</f>
        <v/>
      </c>
      <c r="C12" s="11">
        <f>B12</f>
        <v/>
      </c>
    </row>
    <row r="13">
      <c r="A13" s="18" t="inlineStr">
        <is>
          <t>Profit Sharing</t>
        </is>
      </c>
      <c r="B13" s="11">
        <f>$B$4*COMPENSATION_STRATEGY!B25</f>
        <v/>
      </c>
      <c r="C13" s="11">
        <f>B13</f>
        <v/>
      </c>
    </row>
    <row r="14">
      <c r="A14" s="18" t="inlineStr">
        <is>
          <t>Hiring &amp; Firing</t>
        </is>
      </c>
      <c r="B14" s="24">
        <f>WORKFORCE_PLANNING!K15</f>
        <v/>
      </c>
      <c r="C14" s="11">
        <f>B14</f>
        <v/>
      </c>
    </row>
    <row r="15">
      <c r="A15" s="30" t="inlineStr">
        <is>
          <t>SALESFORCE PAYROLL (Fixed)</t>
        </is>
      </c>
      <c r="B15" s="24" t="n">
        <v>0</v>
      </c>
      <c r="C15" s="11">
        <f>B15</f>
        <v/>
      </c>
      <c r="D15" s="2" t="inlineStr">
        <is>
          <t>Based on 0 salespeople @ $750/person (Admin Report)</t>
        </is>
      </c>
    </row>
    <row r="16">
      <c r="A16" s="19" t="inlineStr">
        <is>
          <t>TOTAL PEOPLE EXPENSE</t>
        </is>
      </c>
      <c r="C16" s="12">
        <f>SUM(C10:C14)</f>
        <v/>
      </c>
    </row>
    <row r="18">
      <c r="A18" s="18" t="inlineStr">
        <is>
          <t>Variance vs Previous Period</t>
        </is>
      </c>
      <c r="C18" s="11">
        <f>C16-B5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PEOPLE DECISIONS - ExSim Upload Format</t>
        </is>
      </c>
    </row>
    <row r="2">
      <c r="A2" s="2" t="inlineStr">
        <is>
          <t>Copy these values to ExSim People upload.</t>
        </is>
      </c>
    </row>
    <row r="4">
      <c r="A4" s="3" t="inlineStr">
        <is>
          <t>Salaries</t>
        </is>
      </c>
      <c r="D4" s="3" t="inlineStr">
        <is>
          <t>Benefits &amp; Policies</t>
        </is>
      </c>
    </row>
    <row r="5">
      <c r="A5" s="28" t="inlineStr">
        <is>
          <t>Zone</t>
        </is>
      </c>
      <c r="B5" s="28" t="inlineStr">
        <is>
          <t>Salary</t>
        </is>
      </c>
      <c r="D5" s="28" t="inlineStr">
        <is>
          <t>Benefit</t>
        </is>
      </c>
      <c r="E5" s="28" t="inlineStr">
        <is>
          <t>Value</t>
        </is>
      </c>
    </row>
    <row r="6">
      <c r="A6" s="6" t="inlineStr">
        <is>
          <t>Center</t>
        </is>
      </c>
      <c r="B6" s="11">
        <f>COMPENSATION_STRATEGY!D11</f>
        <v/>
      </c>
      <c r="D6" s="18" t="inlineStr">
        <is>
          <t>Training Budget (% of Payroll)</t>
        </is>
      </c>
      <c r="E6" s="10">
        <f>COMPENSATION_STRATEGY!B23</f>
        <v/>
      </c>
    </row>
    <row r="7">
      <c r="A7" s="13" t="inlineStr">
        <is>
          <t>West</t>
        </is>
      </c>
      <c r="B7" s="11">
        <f>COMPENSATION_STRATEGY!D12</f>
        <v/>
      </c>
      <c r="D7" s="18" t="inlineStr">
        <is>
          <t>Health Insurance (% of Payroll)</t>
        </is>
      </c>
      <c r="E7" s="10">
        <f>COMPENSATION_STRATEGY!B24</f>
        <v/>
      </c>
    </row>
    <row r="8">
      <c r="A8" s="14" t="inlineStr">
        <is>
          <t>North</t>
        </is>
      </c>
      <c r="B8" s="11">
        <f>COMPENSATION_STRATEGY!D13</f>
        <v/>
      </c>
      <c r="D8" s="18" t="inlineStr">
        <is>
          <t>Profit Sharing (% of Net Profit)</t>
        </is>
      </c>
      <c r="E8" s="10">
        <f>COMPENSATION_STRATEGY!B25</f>
        <v/>
      </c>
    </row>
    <row r="9">
      <c r="A9" s="15" t="inlineStr">
        <is>
          <t>East</t>
        </is>
      </c>
      <c r="B9" s="11">
        <f>COMPENSATION_STRATEGY!D14</f>
        <v/>
      </c>
      <c r="D9" s="18" t="inlineStr">
        <is>
          <t>Personal Days (per Worker)</t>
        </is>
      </c>
      <c r="E9" s="10">
        <f>COMPENSATION_STRATEGY!B26</f>
        <v/>
      </c>
    </row>
    <row r="10">
      <c r="A10" s="16" t="inlineStr">
        <is>
          <t>South</t>
        </is>
      </c>
      <c r="B10" s="11">
        <f>COMPENSATION_STRATEGY!D15</f>
        <v/>
      </c>
      <c r="D10" s="18" t="inlineStr">
        <is>
          <t>Union Representatives</t>
        </is>
      </c>
      <c r="E10" s="10">
        <f>COMPENSATION_STRATEGY!B27</f>
        <v/>
      </c>
    </row>
    <row r="11">
      <c r="D11" s="18" t="inlineStr">
        <is>
          <t>Reduction in Working Hours (%)</t>
        </is>
      </c>
      <c r="E11" s="10">
        <f>COMPENSATION_STRATEGY!B28</f>
        <v/>
      </c>
    </row>
    <row r="12">
      <c r="D12" s="18" t="inlineStr">
        <is>
          <t>Off-Days for Workers</t>
        </is>
      </c>
      <c r="E12" s="10">
        <f>COMPENSATION_STRATEGY!B29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CROSS-REFERENCE SUMMARY - Upstream Support</t>
        </is>
      </c>
    </row>
    <row r="2">
      <c r="A2" s="2" t="inlineStr">
        <is>
          <t>Key metrics from Production and Finance.</t>
        </is>
      </c>
    </row>
    <row r="4">
      <c r="A4" s="31" t="inlineStr">
        <is>
          <t>Production (Targets)</t>
        </is>
      </c>
    </row>
    <row r="5">
      <c r="A5" s="18" t="inlineStr">
        <is>
          <t>Total Production Target</t>
        </is>
      </c>
      <c r="B5" s="18" t="inlineStr">
        <is>
          <t>12252</t>
        </is>
      </c>
    </row>
    <row r="6">
      <c r="A6" s="18" t="inlineStr">
        <is>
          <t>Overtime Hours</t>
        </is>
      </c>
      <c r="B6" s="18" t="inlineStr">
        <is>
          <t>0</t>
        </is>
      </c>
    </row>
    <row r="9">
      <c r="A9" s="32" t="inlineStr">
        <is>
          <t>Finance (Payroll Budget)</t>
        </is>
      </c>
    </row>
    <row r="10">
      <c r="A10" s="18" t="inlineStr">
        <is>
          <t>Cash Availability</t>
        </is>
      </c>
      <c r="B10" s="18" t="inlineStr">
        <is>
          <t>Check Finance Dashboard</t>
        </is>
      </c>
    </row>
    <row r="11">
      <c r="A11" s="18" t="inlineStr">
        <is>
          <t>Liquidity Status</t>
        </is>
      </c>
      <c r="B11" s="18" t="inlineStr">
        <is>
          <t>🟡 Excess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2026-01-05T18:49:53Z</dcterms:created>
  <dcterms:modified xsi:type="dcterms:W3CDTF">2026-01-05T18:49:53Z</dcterms:modified>
</cp:coreProperties>
</file>