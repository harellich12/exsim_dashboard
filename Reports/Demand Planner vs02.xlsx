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Reports/"/>
    </mc:Choice>
  </mc:AlternateContent>
  <xr:revisionPtr revIDLastSave="14" documentId="13_ncr:1_{713D3558-F57F-455D-896E-4CE421B40E3B}" xr6:coauthVersionLast="47" xr6:coauthVersionMax="47" xr10:uidLastSave="{0A7A78E9-C952-4F44-865E-3ACED2BADCF6}"/>
  <bookViews>
    <workbookView minimized="1" xWindow="12540" yWindow="1560" windowWidth="38280" windowHeight="18030" tabRatio="778" activeTab="3" xr2:uid="{4AE270ED-6D61-4526-A1DB-6FA77D5081D7}"/>
  </bookViews>
  <sheets>
    <sheet name="DEMAND" sheetId="3" r:id="rId1"/>
    <sheet name="INPUTS_MASTER" sheetId="1" r:id="rId2"/>
    <sheet name="INNOVATION" sheetId="10" r:id="rId3"/>
    <sheet name="MARKET_DATA" sheetId="2" r:id="rId4"/>
    <sheet name="AWARENESS" sheetId="4" r:id="rId5"/>
    <sheet name="ATTRACTIVENESS" sheetId="5" r:id="rId6"/>
    <sheet name="AVAILABILITY" sheetId="6" r:id="rId7"/>
    <sheet name="PRICE_P" sheetId="7" r:id="rId8"/>
    <sheet name="MS_ALLOCATION" sheetId="8" r:id="rId9"/>
  </sheets>
  <definedNames>
    <definedName name="_xlnm._FilterDatabase" localSheetId="5" hidden="1">ATTRACTIVENESS!$A$9:$A$18</definedName>
    <definedName name="_xlnm._FilterDatabase" localSheetId="0" hidden="1">DEMAND!$L$1:$Q$61</definedName>
    <definedName name="_xlnm._FilterDatabase" localSheetId="2" hidden="1">INNOVATION!$A$1:$A$25</definedName>
    <definedName name="_xlnm._FilterDatabase" localSheetId="8" hidden="1">MS_ALLOCATION!$A$12:$A$23</definedName>
  </definedNames>
  <calcPr calcId="191029" calcMode="manual" calcCompleted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G22" i="3"/>
  <c r="F22" i="3"/>
  <c r="E22" i="3"/>
  <c r="D22" i="3"/>
  <c r="G39" i="3"/>
  <c r="F39" i="3"/>
  <c r="E40" i="3"/>
  <c r="H38" i="3"/>
  <c r="G38" i="3"/>
  <c r="F38" i="3"/>
  <c r="E38" i="3"/>
  <c r="D40" i="3"/>
  <c r="D39" i="3"/>
  <c r="D38" i="3"/>
  <c r="E15" i="3"/>
  <c r="F15" i="3"/>
  <c r="G15" i="3"/>
  <c r="H15" i="3"/>
  <c r="E16" i="3"/>
  <c r="E21" i="3" s="1"/>
  <c r="F16" i="3"/>
  <c r="F21" i="3" s="1"/>
  <c r="G16" i="3"/>
  <c r="G21" i="3" s="1"/>
  <c r="H16" i="3"/>
  <c r="H21" i="3" s="1"/>
  <c r="D16" i="3"/>
  <c r="D15" i="3"/>
  <c r="D20" i="3" l="1"/>
  <c r="F20" i="3"/>
  <c r="G20" i="3"/>
  <c r="E20" i="3"/>
  <c r="H20" i="3"/>
  <c r="D21" i="3"/>
  <c r="D42" i="3"/>
  <c r="D43" i="3"/>
  <c r="D41" i="3"/>
  <c r="H41" i="3"/>
  <c r="H43" i="3"/>
  <c r="H42" i="3"/>
  <c r="E39" i="3"/>
  <c r="F40" i="3"/>
  <c r="G40" i="3"/>
  <c r="H39" i="3"/>
  <c r="H40" i="3"/>
  <c r="F41" i="3" l="1"/>
  <c r="F43" i="3"/>
  <c r="F42" i="3"/>
  <c r="G43" i="3"/>
  <c r="G42" i="3"/>
  <c r="G41" i="3"/>
  <c r="E43" i="3"/>
  <c r="E42" i="3"/>
  <c r="E41" i="3"/>
  <c r="I13" i="8" a="1"/>
  <c r="I13" i="8" s="1"/>
  <c r="J13" i="8" a="1"/>
  <c r="J13" i="8" s="1"/>
  <c r="K13" i="8" a="1"/>
  <c r="K13" i="8" s="1"/>
  <c r="L13" i="8" a="1"/>
  <c r="L13" i="8" s="1"/>
  <c r="P13" i="8" a="1"/>
  <c r="P13" i="8" s="1"/>
  <c r="I14" i="8" a="1"/>
  <c r="I14" i="8" s="1"/>
  <c r="J14" i="8" a="1"/>
  <c r="J14" i="8" s="1"/>
  <c r="K14" i="8" a="1"/>
  <c r="K14" i="8" s="1"/>
  <c r="L14" i="8" a="1"/>
  <c r="L14" i="8" s="1"/>
  <c r="P14" i="8" a="1"/>
  <c r="P14" i="8" s="1"/>
  <c r="I15" i="8" a="1"/>
  <c r="I15" i="8" s="1"/>
  <c r="J15" i="8" a="1"/>
  <c r="J15" i="8" s="1"/>
  <c r="K15" i="8" a="1"/>
  <c r="K15" i="8" s="1"/>
  <c r="L15" i="8" a="1"/>
  <c r="L15" i="8" s="1"/>
  <c r="P15" i="8" a="1"/>
  <c r="P15" i="8" s="1"/>
  <c r="I16" i="8" a="1"/>
  <c r="I16" i="8" s="1"/>
  <c r="J16" i="8" a="1"/>
  <c r="J16" i="8" s="1"/>
  <c r="K16" i="8" a="1"/>
  <c r="K16" i="8" s="1"/>
  <c r="L16" i="8" a="1"/>
  <c r="L16" i="8" s="1"/>
  <c r="P16" i="8" a="1"/>
  <c r="P16" i="8" s="1"/>
  <c r="I17" i="8" a="1"/>
  <c r="I17" i="8" s="1"/>
  <c r="J17" i="8" a="1"/>
  <c r="J17" i="8" s="1"/>
  <c r="K17" i="8" a="1"/>
  <c r="K17" i="8" s="1"/>
  <c r="L17" i="8" a="1"/>
  <c r="L17" i="8" s="1"/>
  <c r="P17" i="8" a="1"/>
  <c r="P17" i="8" s="1"/>
  <c r="I18" i="8" a="1"/>
  <c r="I18" i="8" s="1"/>
  <c r="J18" i="8" a="1"/>
  <c r="J18" i="8" s="1"/>
  <c r="K18" i="8" a="1"/>
  <c r="K18" i="8" s="1"/>
  <c r="L18" i="8" a="1"/>
  <c r="L18" i="8" s="1"/>
  <c r="P18" i="8" a="1"/>
  <c r="P18" i="8" s="1"/>
  <c r="I19" i="8" a="1"/>
  <c r="I19" i="8" s="1"/>
  <c r="J19" i="8" a="1"/>
  <c r="J19" i="8" s="1"/>
  <c r="K19" i="8" a="1"/>
  <c r="K19" i="8" s="1"/>
  <c r="L19" i="8" a="1"/>
  <c r="L19" i="8" s="1"/>
  <c r="P19" i="8" a="1"/>
  <c r="P19" i="8" s="1"/>
  <c r="I20" i="8" a="1"/>
  <c r="I20" i="8" s="1"/>
  <c r="J20" i="8" a="1"/>
  <c r="J20" i="8" s="1"/>
  <c r="K20" i="8" a="1"/>
  <c r="K20" i="8" s="1"/>
  <c r="L20" i="8" a="1"/>
  <c r="L20" i="8" s="1"/>
  <c r="P20" i="8" a="1"/>
  <c r="P20" i="8" s="1"/>
  <c r="I21" i="8" a="1"/>
  <c r="I21" i="8" s="1"/>
  <c r="J21" i="8" a="1"/>
  <c r="J21" i="8" s="1"/>
  <c r="K21" i="8" a="1"/>
  <c r="K21" i="8" s="1"/>
  <c r="L21" i="8" a="1"/>
  <c r="L21" i="8" s="1"/>
  <c r="P21" i="8" a="1"/>
  <c r="P21" i="8" s="1"/>
  <c r="L12" i="8" a="1"/>
  <c r="L12" i="8" s="1"/>
  <c r="K12" i="8" a="1"/>
  <c r="K12" i="8" s="1"/>
  <c r="J12" i="8" a="1"/>
  <c r="J12" i="8" s="1"/>
  <c r="I12" i="8" a="1"/>
  <c r="I12" i="8" s="1"/>
  <c r="P12" i="8" a="1"/>
  <c r="P12" i="8" s="1"/>
  <c r="E8" i="7" a="1"/>
  <c r="E8" i="7" s="1"/>
  <c r="F8" i="7"/>
  <c r="H8" i="7"/>
  <c r="E9" i="7" a="1"/>
  <c r="E9" i="7" s="1"/>
  <c r="F9" i="7"/>
  <c r="H9" i="7"/>
  <c r="E10" i="7" a="1"/>
  <c r="E10" i="7" s="1"/>
  <c r="F10" i="7"/>
  <c r="H10" i="7"/>
  <c r="E11" i="7" a="1"/>
  <c r="E11" i="7" s="1"/>
  <c r="F11" i="7"/>
  <c r="H11" i="7"/>
  <c r="E12" i="7" a="1"/>
  <c r="E12" i="7" s="1"/>
  <c r="F12" i="7"/>
  <c r="H12" i="7"/>
  <c r="E13" i="7" a="1"/>
  <c r="E13" i="7" s="1"/>
  <c r="G13" i="7" s="1"/>
  <c r="F13" i="7"/>
  <c r="H13" i="7"/>
  <c r="E14" i="7" a="1"/>
  <c r="E14" i="7" s="1"/>
  <c r="F14" i="7"/>
  <c r="H14" i="7"/>
  <c r="E15" i="7" a="1"/>
  <c r="E15" i="7" s="1"/>
  <c r="F15" i="7"/>
  <c r="H15" i="7"/>
  <c r="E16" i="7" a="1"/>
  <c r="E16" i="7" s="1"/>
  <c r="G16" i="7" s="1"/>
  <c r="F16" i="7"/>
  <c r="H16" i="7"/>
  <c r="H7" i="7"/>
  <c r="D10" i="6" a="1"/>
  <c r="D10" i="6" s="1"/>
  <c r="F10" i="6" a="1"/>
  <c r="F10" i="6" s="1"/>
  <c r="G10" i="6"/>
  <c r="H10" i="6"/>
  <c r="D11" i="6" a="1"/>
  <c r="D11" i="6" s="1"/>
  <c r="F11" i="6" a="1"/>
  <c r="F11" i="6" s="1"/>
  <c r="G11" i="6"/>
  <c r="H11" i="6"/>
  <c r="D12" i="6" a="1"/>
  <c r="D12" i="6" s="1"/>
  <c r="F12" i="6" a="1"/>
  <c r="F12" i="6" s="1"/>
  <c r="G12" i="6"/>
  <c r="H12" i="6"/>
  <c r="D13" i="6" a="1"/>
  <c r="D13" i="6" s="1"/>
  <c r="F13" i="6" a="1"/>
  <c r="F13" i="6" s="1"/>
  <c r="G13" i="6"/>
  <c r="H13" i="6"/>
  <c r="H9" i="6"/>
  <c r="G9" i="6"/>
  <c r="Q10" i="5"/>
  <c r="Q11" i="5"/>
  <c r="Q12" i="5"/>
  <c r="Q13" i="5"/>
  <c r="Q14" i="5"/>
  <c r="Q15" i="5"/>
  <c r="Q16" i="5"/>
  <c r="Q17" i="5"/>
  <c r="Q18" i="5"/>
  <c r="Q9" i="5"/>
  <c r="E10" i="5" a="1"/>
  <c r="E10" i="5" s="1"/>
  <c r="M10" i="5" s="1"/>
  <c r="F10" i="5" a="1"/>
  <c r="F10" i="5" s="1"/>
  <c r="G10" i="5"/>
  <c r="H10" i="5" a="1"/>
  <c r="H10" i="5" s="1"/>
  <c r="I10" i="5" a="1"/>
  <c r="I10" i="5" s="1"/>
  <c r="J10" i="5" a="1"/>
  <c r="J10" i="5" s="1"/>
  <c r="K10" i="5"/>
  <c r="L10" i="5"/>
  <c r="E11" i="5" a="1"/>
  <c r="E11" i="5" s="1"/>
  <c r="M11" i="5" s="1"/>
  <c r="N11" i="5" s="1"/>
  <c r="F11" i="5" a="1"/>
  <c r="F11" i="5" s="1"/>
  <c r="G11" i="5"/>
  <c r="H11" i="5" a="1"/>
  <c r="H11" i="5" s="1"/>
  <c r="I11" i="5" a="1"/>
  <c r="I11" i="5" s="1"/>
  <c r="J11" i="5" a="1"/>
  <c r="J11" i="5" s="1"/>
  <c r="K11" i="5"/>
  <c r="L11" i="5"/>
  <c r="E12" i="5" a="1"/>
  <c r="E12" i="5" s="1"/>
  <c r="M12" i="5" s="1"/>
  <c r="N12" i="5" s="1"/>
  <c r="F12" i="5" a="1"/>
  <c r="F12" i="5" s="1"/>
  <c r="G12" i="5"/>
  <c r="H12" i="5" a="1"/>
  <c r="H12" i="5" s="1"/>
  <c r="I12" i="5" a="1"/>
  <c r="I12" i="5" s="1"/>
  <c r="J12" i="5" a="1"/>
  <c r="J12" i="5"/>
  <c r="K12" i="5"/>
  <c r="L12" i="5"/>
  <c r="E13" i="5" a="1"/>
  <c r="E13" i="5" s="1"/>
  <c r="M13" i="5" s="1"/>
  <c r="N13" i="5" s="1"/>
  <c r="F13" i="5" a="1"/>
  <c r="F13" i="5" s="1"/>
  <c r="G13" i="5"/>
  <c r="H13" i="5" a="1"/>
  <c r="H13" i="5" s="1"/>
  <c r="I13" i="5" a="1"/>
  <c r="I13" i="5" s="1"/>
  <c r="J13" i="5" a="1"/>
  <c r="J13" i="5" s="1"/>
  <c r="K13" i="5"/>
  <c r="L13" i="5"/>
  <c r="E14" i="5" a="1"/>
  <c r="E14" i="5" s="1"/>
  <c r="M14" i="5" s="1"/>
  <c r="N14" i="5" s="1"/>
  <c r="F14" i="5" a="1"/>
  <c r="F14" i="5" s="1"/>
  <c r="G14" i="5"/>
  <c r="H14" i="5" a="1"/>
  <c r="H14" i="5" s="1"/>
  <c r="I14" i="5" a="1"/>
  <c r="I14" i="5" s="1"/>
  <c r="J14" i="5" a="1"/>
  <c r="J14" i="5" s="1"/>
  <c r="K14" i="5"/>
  <c r="L14" i="5"/>
  <c r="E15" i="5" a="1"/>
  <c r="E15" i="5" s="1"/>
  <c r="M15" i="5" s="1"/>
  <c r="N15" i="5" s="1"/>
  <c r="F15" i="5" a="1"/>
  <c r="F15" i="5" s="1"/>
  <c r="G15" i="5"/>
  <c r="H15" i="5" a="1"/>
  <c r="H15" i="5" s="1"/>
  <c r="I15" i="5" a="1"/>
  <c r="I15" i="5" s="1"/>
  <c r="J15" i="5" a="1"/>
  <c r="J15" i="5" s="1"/>
  <c r="K15" i="5"/>
  <c r="L15" i="5"/>
  <c r="E16" i="5" a="1"/>
  <c r="E16" i="5" s="1"/>
  <c r="M16" i="5" s="1"/>
  <c r="N16" i="5" s="1"/>
  <c r="F16" i="5" a="1"/>
  <c r="F16" i="5" s="1"/>
  <c r="G16" i="5"/>
  <c r="H16" i="5" a="1"/>
  <c r="H16" i="5" s="1"/>
  <c r="I16" i="5" a="1"/>
  <c r="I16" i="5" s="1"/>
  <c r="J16" i="5" a="1"/>
  <c r="J16" i="5"/>
  <c r="K16" i="5"/>
  <c r="L16" i="5"/>
  <c r="E17" i="5" a="1"/>
  <c r="E17" i="5" s="1"/>
  <c r="M17" i="5" s="1"/>
  <c r="N17" i="5" s="1"/>
  <c r="F17" i="5" a="1"/>
  <c r="F17" i="5" s="1"/>
  <c r="G17" i="5"/>
  <c r="H17" i="5" a="1"/>
  <c r="H17" i="5" s="1"/>
  <c r="I17" i="5" a="1"/>
  <c r="I17" i="5" s="1"/>
  <c r="J17" i="5" a="1"/>
  <c r="J17" i="5" s="1"/>
  <c r="K17" i="5"/>
  <c r="L17" i="5"/>
  <c r="E18" i="5" a="1"/>
  <c r="E18" i="5" s="1"/>
  <c r="M18" i="5" s="1"/>
  <c r="F18" i="5" a="1"/>
  <c r="F18" i="5" s="1"/>
  <c r="G18" i="5"/>
  <c r="H18" i="5" a="1"/>
  <c r="H18" i="5" s="1"/>
  <c r="I18" i="5" a="1"/>
  <c r="I18" i="5" s="1"/>
  <c r="J18" i="5" a="1"/>
  <c r="J18" i="5" s="1"/>
  <c r="K18" i="5"/>
  <c r="L18" i="5"/>
  <c r="G9" i="5"/>
  <c r="L9" i="5"/>
  <c r="K9" i="5"/>
  <c r="F9" i="5" a="1"/>
  <c r="F9" i="5" s="1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K7" i="4"/>
  <c r="J7" i="4"/>
  <c r="G9" i="7" l="1"/>
  <c r="I9" i="7" s="1"/>
  <c r="J9" i="7" s="1"/>
  <c r="H14" i="8" s="1" a="1"/>
  <c r="H14" i="8" s="1"/>
  <c r="G15" i="7"/>
  <c r="I15" i="7" s="1"/>
  <c r="J15" i="7" s="1"/>
  <c r="H20" i="8" s="1" a="1"/>
  <c r="H20" i="8" s="1"/>
  <c r="G12" i="7"/>
  <c r="I12" i="7" s="1"/>
  <c r="J12" i="7" s="1"/>
  <c r="H17" i="8" s="1" a="1"/>
  <c r="H17" i="8" s="1"/>
  <c r="N16" i="8"/>
  <c r="N18" i="8"/>
  <c r="N15" i="8"/>
  <c r="N13" i="8"/>
  <c r="N20" i="8"/>
  <c r="N21" i="8"/>
  <c r="N14" i="8"/>
  <c r="N17" i="8"/>
  <c r="N19" i="8"/>
  <c r="N12" i="8"/>
  <c r="I13" i="7"/>
  <c r="J13" i="7" s="1"/>
  <c r="H18" i="8" s="1" a="1"/>
  <c r="H18" i="8" s="1"/>
  <c r="I16" i="7"/>
  <c r="J16" i="7" s="1"/>
  <c r="H21" i="8" s="1" a="1"/>
  <c r="H21" i="8" s="1"/>
  <c r="G14" i="7"/>
  <c r="I14" i="7" s="1"/>
  <c r="J14" i="7" s="1"/>
  <c r="H19" i="8" s="1" a="1"/>
  <c r="H19" i="8" s="1"/>
  <c r="G11" i="7"/>
  <c r="I11" i="7" s="1"/>
  <c r="J11" i="7" s="1"/>
  <c r="H16" i="8" s="1" a="1"/>
  <c r="H16" i="8" s="1"/>
  <c r="G10" i="7"/>
  <c r="I10" i="7" s="1"/>
  <c r="J10" i="7" s="1"/>
  <c r="H15" i="8" s="1" a="1"/>
  <c r="H15" i="8" s="1"/>
  <c r="G8" i="7"/>
  <c r="I8" i="7" s="1"/>
  <c r="J8" i="7" s="1"/>
  <c r="H13" i="8" s="1" a="1"/>
  <c r="H13" i="8" s="1"/>
  <c r="I11" i="6"/>
  <c r="J11" i="6" s="1"/>
  <c r="I13" i="6"/>
  <c r="I12" i="6"/>
  <c r="J12" i="6" s="1"/>
  <c r="I10" i="6"/>
  <c r="J10" i="6" s="1"/>
  <c r="J13" i="6"/>
  <c r="O17" i="5"/>
  <c r="O16" i="5"/>
  <c r="P16" i="5" s="1"/>
  <c r="R16" i="5" s="1"/>
  <c r="F20" i="8" s="1" a="1"/>
  <c r="F20" i="8" s="1"/>
  <c r="O18" i="5"/>
  <c r="N18" i="5"/>
  <c r="O10" i="5"/>
  <c r="N10" i="5"/>
  <c r="P10" i="5" s="1"/>
  <c r="O14" i="5"/>
  <c r="P14" i="5" s="1"/>
  <c r="R14" i="5" s="1"/>
  <c r="F19" i="8" s="1" a="1"/>
  <c r="F19" i="8" s="1"/>
  <c r="O13" i="5"/>
  <c r="P13" i="5" s="1"/>
  <c r="R13" i="5" s="1"/>
  <c r="F14" i="8" s="1" a="1"/>
  <c r="F14" i="8" s="1"/>
  <c r="O15" i="5"/>
  <c r="P15" i="5" s="1"/>
  <c r="R15" i="5" s="1"/>
  <c r="F15" i="8" s="1" a="1"/>
  <c r="F15" i="8" s="1"/>
  <c r="O12" i="5"/>
  <c r="P12" i="5" s="1"/>
  <c r="R12" i="5" s="1"/>
  <c r="F18" i="8" s="1" a="1"/>
  <c r="F18" i="8" s="1"/>
  <c r="O11" i="5"/>
  <c r="P11" i="5" s="1"/>
  <c r="R11" i="5" s="1"/>
  <c r="F13" i="8" s="1" a="1"/>
  <c r="F13" i="8" s="1"/>
  <c r="P17" i="5"/>
  <c r="R17" i="5" s="1"/>
  <c r="F16" i="8" s="1" a="1"/>
  <c r="F16" i="8" s="1"/>
  <c r="G13" i="8" l="1" a="1"/>
  <c r="G13" i="8" s="1"/>
  <c r="G18" i="8" a="1"/>
  <c r="G18" i="8" s="1"/>
  <c r="G19" i="8" a="1"/>
  <c r="G19" i="8" s="1"/>
  <c r="G14" i="8" a="1"/>
  <c r="G14" i="8" s="1"/>
  <c r="G16" i="8" a="1"/>
  <c r="G16" i="8" s="1"/>
  <c r="G21" i="8" a="1"/>
  <c r="G21" i="8" s="1"/>
  <c r="G15" i="8" a="1"/>
  <c r="G15" i="8" s="1"/>
  <c r="G20" i="8" a="1"/>
  <c r="G20" i="8" s="1"/>
  <c r="R10" i="5"/>
  <c r="F17" i="8" s="1" a="1"/>
  <c r="F17" i="8" s="1"/>
  <c r="P18" i="5"/>
  <c r="R18" i="5" s="1"/>
  <c r="F21" i="8" s="1" a="1"/>
  <c r="F21" i="8" s="1"/>
  <c r="E17" i="7" l="1" a="1"/>
  <c r="E17" i="7" s="1"/>
  <c r="F17" i="7"/>
  <c r="E18" i="7" a="1"/>
  <c r="E18" i="7" s="1"/>
  <c r="F18" i="7"/>
  <c r="E19" i="7" a="1"/>
  <c r="E19" i="7" s="1"/>
  <c r="F19" i="7"/>
  <c r="E20" i="7" a="1"/>
  <c r="E20" i="7" s="1"/>
  <c r="F20" i="7"/>
  <c r="E21" i="7" a="1"/>
  <c r="E21" i="7" s="1"/>
  <c r="F21" i="7"/>
  <c r="E22" i="7" a="1"/>
  <c r="E22" i="7" s="1"/>
  <c r="F22" i="7"/>
  <c r="E23" i="7" a="1"/>
  <c r="E23" i="7" s="1"/>
  <c r="F23" i="7"/>
  <c r="E24" i="7" a="1"/>
  <c r="E24" i="7" s="1"/>
  <c r="F24" i="7"/>
  <c r="E25" i="7" a="1"/>
  <c r="E25" i="7" s="1"/>
  <c r="F25" i="7"/>
  <c r="E26" i="7" a="1"/>
  <c r="E26" i="7" s="1"/>
  <c r="F26" i="7"/>
  <c r="E27" i="7" a="1"/>
  <c r="E27" i="7" s="1"/>
  <c r="F27" i="7"/>
  <c r="E28" i="7" a="1"/>
  <c r="E28" i="7" s="1"/>
  <c r="F28" i="7"/>
  <c r="E29" i="7" a="1"/>
  <c r="E29" i="7" s="1"/>
  <c r="F29" i="7"/>
  <c r="E30" i="7" a="1"/>
  <c r="E30" i="7" s="1"/>
  <c r="F30" i="7"/>
  <c r="E31" i="7" a="1"/>
  <c r="E31" i="7" s="1"/>
  <c r="F31" i="7"/>
  <c r="E32" i="7" a="1"/>
  <c r="E32" i="7" s="1"/>
  <c r="F32" i="7"/>
  <c r="E33" i="7" a="1"/>
  <c r="E33" i="7" s="1"/>
  <c r="F33" i="7"/>
  <c r="E34" i="7" a="1"/>
  <c r="E34" i="7" s="1"/>
  <c r="F34" i="7"/>
  <c r="E35" i="7" a="1"/>
  <c r="E35" i="7" s="1"/>
  <c r="F35" i="7"/>
  <c r="E36" i="7" a="1"/>
  <c r="E36" i="7" s="1"/>
  <c r="F36" i="7"/>
  <c r="E37" i="7" a="1"/>
  <c r="E37" i="7" s="1"/>
  <c r="F37" i="7"/>
  <c r="E38" i="7" a="1"/>
  <c r="E38" i="7" s="1"/>
  <c r="F38" i="7"/>
  <c r="E39" i="7" a="1"/>
  <c r="E39" i="7" s="1"/>
  <c r="F39" i="7"/>
  <c r="E40" i="7" a="1"/>
  <c r="E40" i="7" s="1"/>
  <c r="F40" i="7"/>
  <c r="E41" i="7" a="1"/>
  <c r="E41" i="7" s="1"/>
  <c r="F41" i="7"/>
  <c r="E7" i="7" a="1"/>
  <c r="E7" i="7" s="1"/>
  <c r="F7" i="7"/>
  <c r="D14" i="6" a="1"/>
  <c r="D14" i="6" s="1"/>
  <c r="F14" i="6" a="1"/>
  <c r="F14" i="6" s="1"/>
  <c r="D15" i="6" a="1"/>
  <c r="D15" i="6" s="1"/>
  <c r="F15" i="6" a="1"/>
  <c r="F15" i="6" s="1"/>
  <c r="D16" i="6" a="1"/>
  <c r="D16" i="6" s="1"/>
  <c r="F16" i="6" a="1"/>
  <c r="F16" i="6" s="1"/>
  <c r="D17" i="6" a="1"/>
  <c r="D17" i="6" s="1"/>
  <c r="F17" i="6" a="1"/>
  <c r="F17" i="6" s="1"/>
  <c r="D18" i="6" a="1"/>
  <c r="D18" i="6" s="1"/>
  <c r="F18" i="6" a="1"/>
  <c r="F18" i="6" s="1"/>
  <c r="D19" i="6" a="1"/>
  <c r="D19" i="6" s="1"/>
  <c r="F19" i="6" a="1"/>
  <c r="F19" i="6" s="1"/>
  <c r="D20" i="6" a="1"/>
  <c r="D20" i="6" s="1"/>
  <c r="F20" i="6" a="1"/>
  <c r="F20" i="6" s="1"/>
  <c r="D21" i="6" a="1"/>
  <c r="D21" i="6" s="1"/>
  <c r="F21" i="6" a="1"/>
  <c r="F21" i="6" s="1"/>
  <c r="D22" i="6" a="1"/>
  <c r="D22" i="6" s="1"/>
  <c r="F22" i="6" a="1"/>
  <c r="F22" i="6" s="1"/>
  <c r="D23" i="6" a="1"/>
  <c r="D23" i="6" s="1"/>
  <c r="F23" i="6" a="1"/>
  <c r="F23" i="6" s="1"/>
  <c r="D24" i="6" a="1"/>
  <c r="D24" i="6" s="1"/>
  <c r="F24" i="6" a="1"/>
  <c r="F24" i="6" s="1"/>
  <c r="D25" i="6" a="1"/>
  <c r="D25" i="6" s="1"/>
  <c r="F25" i="6" a="1"/>
  <c r="F25" i="6" s="1"/>
  <c r="D26" i="6" a="1"/>
  <c r="D26" i="6" s="1"/>
  <c r="F26" i="6" a="1"/>
  <c r="F26" i="6" s="1"/>
  <c r="D27" i="6" a="1"/>
  <c r="D27" i="6" s="1"/>
  <c r="F27" i="6" a="1"/>
  <c r="F27" i="6" s="1"/>
  <c r="D28" i="6" a="1"/>
  <c r="D28" i="6" s="1"/>
  <c r="F28" i="6" a="1"/>
  <c r="F28" i="6" s="1"/>
  <c r="D29" i="6" a="1"/>
  <c r="D29" i="6" s="1"/>
  <c r="F29" i="6" a="1"/>
  <c r="F29" i="6" s="1"/>
  <c r="D30" i="6" a="1"/>
  <c r="D30" i="6" s="1"/>
  <c r="F30" i="6" a="1"/>
  <c r="F30" i="6" s="1"/>
  <c r="D31" i="6" a="1"/>
  <c r="D31" i="6" s="1"/>
  <c r="F31" i="6" a="1"/>
  <c r="F31" i="6" s="1"/>
  <c r="D32" i="6" a="1"/>
  <c r="D32" i="6" s="1"/>
  <c r="F32" i="6" a="1"/>
  <c r="F32" i="6" s="1"/>
  <c r="D33" i="6" a="1"/>
  <c r="D33" i="6" s="1"/>
  <c r="F33" i="6" a="1"/>
  <c r="F33" i="6" s="1"/>
  <c r="D34" i="6" a="1"/>
  <c r="D34" i="6" s="1"/>
  <c r="F34" i="6" a="1"/>
  <c r="F34" i="6" s="1"/>
  <c r="D35" i="6" a="1"/>
  <c r="D35" i="6" s="1"/>
  <c r="F35" i="6" a="1"/>
  <c r="F35" i="6" s="1"/>
  <c r="D36" i="6" a="1"/>
  <c r="D36" i="6" s="1"/>
  <c r="F36" i="6" a="1"/>
  <c r="F36" i="6" s="1"/>
  <c r="D37" i="6" a="1"/>
  <c r="D37" i="6" s="1"/>
  <c r="F37" i="6" a="1"/>
  <c r="F37" i="6" s="1"/>
  <c r="D38" i="6" a="1"/>
  <c r="D38" i="6" s="1"/>
  <c r="F38" i="6" a="1"/>
  <c r="F38" i="6" s="1"/>
  <c r="Q7" i="3"/>
  <c r="Q37" i="3"/>
  <c r="Q42" i="3"/>
  <c r="Q34" i="3"/>
  <c r="Q2" i="3"/>
  <c r="O61" i="3"/>
  <c r="Q61" i="3" s="1"/>
  <c r="O56" i="3"/>
  <c r="Q56" i="3" s="1"/>
  <c r="O51" i="3"/>
  <c r="Q51" i="3" s="1"/>
  <c r="O46" i="3"/>
  <c r="Q46" i="3" s="1"/>
  <c r="O41" i="3"/>
  <c r="Q41" i="3" s="1"/>
  <c r="O36" i="3"/>
  <c r="Q36" i="3" s="1"/>
  <c r="O31" i="3"/>
  <c r="O26" i="3"/>
  <c r="O21" i="3"/>
  <c r="O16" i="3"/>
  <c r="O11" i="3"/>
  <c r="O6" i="3"/>
  <c r="O60" i="3"/>
  <c r="Q60" i="3" s="1"/>
  <c r="O55" i="3"/>
  <c r="Q55" i="3" s="1"/>
  <c r="O50" i="3"/>
  <c r="Q50" i="3" s="1"/>
  <c r="O45" i="3"/>
  <c r="Q45" i="3" s="1"/>
  <c r="O40" i="3"/>
  <c r="Q40" i="3" s="1"/>
  <c r="O35" i="3"/>
  <c r="Q35" i="3" s="1"/>
  <c r="O30" i="3"/>
  <c r="O25" i="3"/>
  <c r="O20" i="3"/>
  <c r="O15" i="3"/>
  <c r="O10" i="3"/>
  <c r="O5" i="3"/>
  <c r="O59" i="3"/>
  <c r="Q59" i="3" s="1"/>
  <c r="O54" i="3"/>
  <c r="Q54" i="3" s="1"/>
  <c r="O49" i="3"/>
  <c r="Q49" i="3" s="1"/>
  <c r="O44" i="3"/>
  <c r="Q44" i="3" s="1"/>
  <c r="O39" i="3"/>
  <c r="Q39" i="3" s="1"/>
  <c r="O34" i="3"/>
  <c r="O29" i="3"/>
  <c r="Q29" i="3" s="1"/>
  <c r="O24" i="3"/>
  <c r="Q24" i="3" s="1"/>
  <c r="O19" i="3"/>
  <c r="Q19" i="3" s="1"/>
  <c r="O14" i="3"/>
  <c r="Q14" i="3" s="1"/>
  <c r="O9" i="3"/>
  <c r="Q9" i="3" s="1"/>
  <c r="O4" i="3"/>
  <c r="Q4" i="3" s="1"/>
  <c r="O58" i="3"/>
  <c r="Q58" i="3" s="1"/>
  <c r="O53" i="3"/>
  <c r="Q53" i="3" s="1"/>
  <c r="O48" i="3"/>
  <c r="Q48" i="3" s="1"/>
  <c r="O43" i="3"/>
  <c r="Q43" i="3" s="1"/>
  <c r="O38" i="3"/>
  <c r="Q38" i="3" s="1"/>
  <c r="O33" i="3"/>
  <c r="Q33" i="3" s="1"/>
  <c r="O28" i="3"/>
  <c r="Q28" i="3" s="1"/>
  <c r="O23" i="3"/>
  <c r="Q23" i="3" s="1"/>
  <c r="O18" i="3"/>
  <c r="Q18" i="3" s="1"/>
  <c r="O13" i="3"/>
  <c r="Q13" i="3" s="1"/>
  <c r="O8" i="3"/>
  <c r="Q8" i="3" s="1"/>
  <c r="O3" i="3"/>
  <c r="Q3" i="3" s="1"/>
  <c r="O57" i="3"/>
  <c r="Q57" i="3" s="1"/>
  <c r="O52" i="3"/>
  <c r="Q52" i="3" s="1"/>
  <c r="O47" i="3"/>
  <c r="Q47" i="3" s="1"/>
  <c r="O42" i="3"/>
  <c r="O37" i="3"/>
  <c r="O32" i="3"/>
  <c r="Q32" i="3" s="1"/>
  <c r="O27" i="3"/>
  <c r="Q27" i="3" s="1"/>
  <c r="O22" i="3"/>
  <c r="Q22" i="3" s="1"/>
  <c r="O17" i="3"/>
  <c r="Q17" i="3" s="1"/>
  <c r="O12" i="3"/>
  <c r="Q12" i="3" s="1"/>
  <c r="O7" i="3"/>
  <c r="O2" i="3"/>
  <c r="D9" i="6" a="1"/>
  <c r="D9" i="6" s="1"/>
  <c r="J9" i="5" a="1"/>
  <c r="J9" i="5" s="1"/>
  <c r="I9" i="5" a="1"/>
  <c r="I9" i="5" s="1"/>
  <c r="H9" i="5" a="1"/>
  <c r="H9" i="5" s="1"/>
  <c r="F8" i="4"/>
  <c r="N8" i="4" s="1"/>
  <c r="F9" i="4"/>
  <c r="N9" i="4" s="1"/>
  <c r="F10" i="4"/>
  <c r="N10" i="4" s="1"/>
  <c r="F11" i="4"/>
  <c r="N11" i="4" s="1"/>
  <c r="F12" i="4"/>
  <c r="N12" i="4" s="1"/>
  <c r="F13" i="4"/>
  <c r="N13" i="4" s="1"/>
  <c r="F14" i="4"/>
  <c r="N14" i="4" s="1"/>
  <c r="F15" i="4"/>
  <c r="N15" i="4" s="1"/>
  <c r="F16" i="4"/>
  <c r="N16" i="4" s="1"/>
  <c r="F7" i="4"/>
  <c r="N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7" i="4" a="1"/>
  <c r="G7" i="4" s="1"/>
  <c r="G9" i="1"/>
  <c r="G8" i="1"/>
  <c r="G7" i="1"/>
  <c r="G6" i="1"/>
  <c r="G5" i="1"/>
  <c r="G4" i="1"/>
  <c r="G3" i="1"/>
  <c r="G2" i="1"/>
  <c r="I16" i="4" a="1"/>
  <c r="I16" i="4" s="1"/>
  <c r="I15" i="4" a="1"/>
  <c r="I15" i="4" s="1"/>
  <c r="I14" i="4" a="1"/>
  <c r="I14" i="4" s="1"/>
  <c r="I13" i="4" a="1"/>
  <c r="I13" i="4" s="1"/>
  <c r="I12" i="4" a="1"/>
  <c r="I12" i="4" s="1"/>
  <c r="I11" i="4" a="1"/>
  <c r="I11" i="4" s="1"/>
  <c r="I10" i="4" a="1"/>
  <c r="I10" i="4" s="1"/>
  <c r="I9" i="4" a="1"/>
  <c r="I9" i="4" s="1"/>
  <c r="I8" i="4" a="1"/>
  <c r="I8" i="4" s="1"/>
  <c r="I7" i="4" a="1"/>
  <c r="I7" i="4" s="1"/>
  <c r="H7" i="4" a="1"/>
  <c r="H7" i="4" s="1"/>
  <c r="H16" i="4" a="1"/>
  <c r="H16" i="4" s="1"/>
  <c r="H15" i="4" a="1"/>
  <c r="H15" i="4" s="1"/>
  <c r="H14" i="4" a="1"/>
  <c r="H14" i="4" s="1"/>
  <c r="H13" i="4" a="1"/>
  <c r="H13" i="4" s="1"/>
  <c r="H12" i="4" a="1"/>
  <c r="H12" i="4" s="1"/>
  <c r="H11" i="4" a="1"/>
  <c r="H11" i="4" s="1"/>
  <c r="H10" i="4" a="1"/>
  <c r="H10" i="4" s="1"/>
  <c r="H9" i="4" a="1"/>
  <c r="H9" i="4" s="1"/>
  <c r="H8" i="4" a="1"/>
  <c r="H8" i="4" s="1"/>
  <c r="E16" i="4" a="1"/>
  <c r="E16" i="4" s="1"/>
  <c r="E15" i="4" a="1"/>
  <c r="E15" i="4" s="1"/>
  <c r="E14" i="4" a="1"/>
  <c r="E14" i="4" s="1"/>
  <c r="E13" i="4" a="1"/>
  <c r="E13" i="4" s="1"/>
  <c r="E12" i="4" a="1"/>
  <c r="E12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I9" i="1"/>
  <c r="I8" i="1"/>
  <c r="I7" i="1"/>
  <c r="I6" i="1"/>
  <c r="I5" i="1"/>
  <c r="J6" i="1"/>
  <c r="J5" i="1"/>
  <c r="I37" i="3"/>
  <c r="I36" i="3"/>
  <c r="I35" i="3"/>
  <c r="I34" i="3"/>
  <c r="I33" i="3"/>
  <c r="I32" i="3"/>
  <c r="I10" i="3"/>
  <c r="I11" i="3"/>
  <c r="I4" i="1"/>
  <c r="I3" i="1"/>
  <c r="I2" i="1"/>
  <c r="F9" i="6" a="1"/>
  <c r="F9" i="6" s="1"/>
  <c r="I9" i="6" s="1"/>
  <c r="E9" i="5" a="1"/>
  <c r="E9" i="5" s="1"/>
  <c r="M9" i="5" s="1"/>
  <c r="N9" i="5" s="1"/>
  <c r="H12" i="3"/>
  <c r="G12" i="3"/>
  <c r="F12" i="3"/>
  <c r="E12" i="3"/>
  <c r="D12" i="3"/>
  <c r="P5" i="3" l="1"/>
  <c r="Q5" i="3" s="1"/>
  <c r="P20" i="3"/>
  <c r="Q20" i="3" s="1"/>
  <c r="P30" i="3"/>
  <c r="Q30" i="3" s="1"/>
  <c r="P6" i="3"/>
  <c r="Q6" i="3" s="1"/>
  <c r="P10" i="3"/>
  <c r="Q10" i="3" s="1"/>
  <c r="P15" i="3"/>
  <c r="Q15" i="3" s="1"/>
  <c r="P25" i="3"/>
  <c r="Q25" i="3" s="1"/>
  <c r="P16" i="3"/>
  <c r="Q16" i="3" s="1"/>
  <c r="P21" i="3"/>
  <c r="Q21" i="3" s="1"/>
  <c r="P26" i="3"/>
  <c r="Q26" i="3" s="1"/>
  <c r="P11" i="3"/>
  <c r="Q11" i="3" s="1"/>
  <c r="P31" i="3"/>
  <c r="Q31" i="3" s="1"/>
  <c r="G29" i="3"/>
  <c r="G28" i="3"/>
  <c r="G27" i="3"/>
  <c r="G26" i="3"/>
  <c r="H29" i="3"/>
  <c r="H28" i="3"/>
  <c r="H27" i="3"/>
  <c r="H26" i="3"/>
  <c r="E29" i="3"/>
  <c r="E28" i="3"/>
  <c r="E27" i="3"/>
  <c r="E26" i="3"/>
  <c r="F29" i="3"/>
  <c r="F28" i="3"/>
  <c r="F27" i="3"/>
  <c r="F26" i="3"/>
  <c r="D26" i="3"/>
  <c r="D29" i="3"/>
  <c r="D28" i="3"/>
  <c r="D27" i="3"/>
  <c r="I15" i="3"/>
  <c r="I26" i="3" s="1"/>
  <c r="I16" i="3"/>
  <c r="G35" i="7"/>
  <c r="G33" i="7"/>
  <c r="G32" i="7"/>
  <c r="G29" i="7"/>
  <c r="G36" i="7"/>
  <c r="G21" i="7"/>
  <c r="G28" i="7"/>
  <c r="G20" i="7"/>
  <c r="G27" i="7"/>
  <c r="G34" i="7"/>
  <c r="G41" i="7"/>
  <c r="G19" i="7"/>
  <c r="G26" i="7"/>
  <c r="G40" i="7"/>
  <c r="G18" i="7"/>
  <c r="G25" i="7"/>
  <c r="G39" i="7"/>
  <c r="G17" i="7"/>
  <c r="G7" i="7"/>
  <c r="I7" i="7" s="1"/>
  <c r="J7" i="7" s="1"/>
  <c r="H12" i="8" s="1" a="1"/>
  <c r="H12" i="8" s="1"/>
  <c r="G24" i="7"/>
  <c r="G31" i="7"/>
  <c r="G38" i="7"/>
  <c r="G23" i="7"/>
  <c r="G30" i="7"/>
  <c r="G37" i="7"/>
  <c r="G22" i="7"/>
  <c r="J9" i="6"/>
  <c r="O9" i="5"/>
  <c r="P9" i="5" s="1"/>
  <c r="R9" i="5" s="1"/>
  <c r="F12" i="8" s="1" a="1"/>
  <c r="F12" i="8" s="1"/>
  <c r="P15" i="4"/>
  <c r="M15" i="4"/>
  <c r="P16" i="4"/>
  <c r="M16" i="4"/>
  <c r="P9" i="4"/>
  <c r="M9" i="4"/>
  <c r="M13" i="4"/>
  <c r="P13" i="4"/>
  <c r="M8" i="4"/>
  <c r="P8" i="4"/>
  <c r="P12" i="4"/>
  <c r="M12" i="4"/>
  <c r="M14" i="4"/>
  <c r="P14" i="4"/>
  <c r="M7" i="4"/>
  <c r="P7" i="4"/>
  <c r="M11" i="4"/>
  <c r="P11" i="4"/>
  <c r="M10" i="4"/>
  <c r="P10" i="4"/>
  <c r="L7" i="4"/>
  <c r="L16" i="4"/>
  <c r="L15" i="4"/>
  <c r="L14" i="4"/>
  <c r="L13" i="4"/>
  <c r="L12" i="4"/>
  <c r="L11" i="4"/>
  <c r="L10" i="4"/>
  <c r="L9" i="4"/>
  <c r="L8" i="4"/>
  <c r="J2" i="1"/>
  <c r="J4" i="1"/>
  <c r="J7" i="1"/>
  <c r="J9" i="1"/>
  <c r="J8" i="1"/>
  <c r="I12" i="3"/>
  <c r="J3" i="1"/>
  <c r="G17" i="8" l="1" a="1"/>
  <c r="G17" i="8" s="1"/>
  <c r="G12" i="8" a="1"/>
  <c r="G12" i="8" s="1"/>
  <c r="I27" i="3"/>
  <c r="I20" i="3"/>
  <c r="O11" i="4"/>
  <c r="Q11" i="4" s="1"/>
  <c r="E14" i="8" s="1" a="1"/>
  <c r="E14" i="8" s="1"/>
  <c r="M14" i="8" s="1"/>
  <c r="O14" i="8" s="1"/>
  <c r="Q14" i="8" s="1"/>
  <c r="O15" i="4"/>
  <c r="Q15" i="4" s="1"/>
  <c r="E16" i="8" s="1" a="1"/>
  <c r="E16" i="8" s="1"/>
  <c r="M16" i="8" s="1"/>
  <c r="O16" i="8" s="1"/>
  <c r="Q16" i="8" s="1"/>
  <c r="O16" i="4"/>
  <c r="Q16" i="4" s="1"/>
  <c r="E21" i="8" s="1" a="1"/>
  <c r="E21" i="8" s="1"/>
  <c r="M21" i="8" s="1"/>
  <c r="O21" i="8" s="1"/>
  <c r="Q21" i="8" s="1"/>
  <c r="O13" i="4"/>
  <c r="Q13" i="4" s="1"/>
  <c r="E15" i="8" s="1" a="1"/>
  <c r="E15" i="8" s="1"/>
  <c r="M15" i="8" s="1"/>
  <c r="O15" i="8" s="1"/>
  <c r="Q15" i="8" s="1"/>
  <c r="O7" i="4"/>
  <c r="Q7" i="4" s="1"/>
  <c r="E12" i="8" s="1" a="1"/>
  <c r="E12" i="8" s="1"/>
  <c r="O12" i="4"/>
  <c r="Q12" i="4" s="1"/>
  <c r="E19" i="8" s="1" a="1"/>
  <c r="E19" i="8" s="1"/>
  <c r="M19" i="8" s="1"/>
  <c r="O19" i="8" s="1"/>
  <c r="Q19" i="8" s="1"/>
  <c r="O14" i="4"/>
  <c r="Q14" i="4" s="1"/>
  <c r="E20" i="8" s="1" a="1"/>
  <c r="E20" i="8" s="1"/>
  <c r="M20" i="8" s="1"/>
  <c r="O20" i="8" s="1"/>
  <c r="Q20" i="8" s="1"/>
  <c r="O8" i="4"/>
  <c r="Q8" i="4" s="1"/>
  <c r="E17" i="8" s="1" a="1"/>
  <c r="E17" i="8" s="1"/>
  <c r="O9" i="4"/>
  <c r="Q9" i="4" s="1"/>
  <c r="E13" i="8" s="1" a="1"/>
  <c r="E13" i="8" s="1"/>
  <c r="M13" i="8" s="1"/>
  <c r="O13" i="8" s="1"/>
  <c r="Q13" i="8" s="1"/>
  <c r="O10" i="4"/>
  <c r="Q10" i="4" s="1"/>
  <c r="E18" i="8" s="1" a="1"/>
  <c r="E18" i="8" s="1"/>
  <c r="M18" i="8" s="1"/>
  <c r="O18" i="8" s="1"/>
  <c r="Q18" i="8" s="1"/>
  <c r="I40" i="3"/>
  <c r="I39" i="3"/>
  <c r="I42" i="3"/>
  <c r="I41" i="3"/>
  <c r="I43" i="3"/>
  <c r="M12" i="8" l="1"/>
  <c r="O12" i="8" s="1"/>
  <c r="Q12" i="8" s="1"/>
  <c r="M17" i="8"/>
  <c r="O17" i="8" s="1"/>
  <c r="Q17" i="8" s="1"/>
  <c r="I18" i="3"/>
  <c r="I38" i="3"/>
  <c r="I29" i="3" l="1"/>
  <c r="I17" i="3"/>
  <c r="I21" i="3" s="1"/>
  <c r="I22" i="3" l="1"/>
  <c r="I2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<sst xmlns="http://schemas.openxmlformats.org/spreadsheetml/2006/main" count="1728" uniqueCount="333">
  <si>
    <t>Period</t>
  </si>
  <si>
    <t>Company</t>
  </si>
  <si>
    <t>Region</t>
  </si>
  <si>
    <t>Price</t>
  </si>
  <si>
    <t>Salespeople</t>
  </si>
  <si>
    <t>MarketTest</t>
  </si>
  <si>
    <t>Center</t>
  </si>
  <si>
    <t>A</t>
  </si>
  <si>
    <t>C1</t>
  </si>
  <si>
    <t>B</t>
  </si>
  <si>
    <t>Segment</t>
  </si>
  <si>
    <t>High</t>
  </si>
  <si>
    <t>Low</t>
  </si>
  <si>
    <t>Segment\Region</t>
  </si>
  <si>
    <t>West</t>
  </si>
  <si>
    <t>North</t>
  </si>
  <si>
    <t>East</t>
  </si>
  <si>
    <t>South</t>
  </si>
  <si>
    <t>Year 1</t>
  </si>
  <si>
    <t>Year 2</t>
  </si>
  <si>
    <t>Year 3</t>
  </si>
  <si>
    <t>Year 4</t>
  </si>
  <si>
    <t>Companies:</t>
  </si>
  <si>
    <t>Table I. 1 Target populations* per company by region and segment (in # of households)</t>
  </si>
  <si>
    <t>Real</t>
  </si>
  <si>
    <t>Penetration</t>
  </si>
  <si>
    <t>Total Demand</t>
  </si>
  <si>
    <t>Total</t>
  </si>
  <si>
    <t>Avg Market Awareness (t-1)</t>
  </si>
  <si>
    <t>TV Spots Global</t>
  </si>
  <si>
    <t>Radio Spots Region</t>
  </si>
  <si>
    <t>Run Type</t>
  </si>
  <si>
    <t>TV Spots</t>
  </si>
  <si>
    <t>TV Spend</t>
  </si>
  <si>
    <t>Radio Spots</t>
  </si>
  <si>
    <t>Radio Spend</t>
  </si>
  <si>
    <t>Total Ad Spend</t>
  </si>
  <si>
    <t>Feature Focus %</t>
  </si>
  <si>
    <t>Payment Term</t>
  </si>
  <si>
    <t>Awareness %</t>
  </si>
  <si>
    <t>Attractiveness %</t>
  </si>
  <si>
    <t>Attractiveness (t-1)</t>
  </si>
  <si>
    <t>ID</t>
  </si>
  <si>
    <t>Innovation</t>
  </si>
  <si>
    <t>Recyclable materials</t>
  </si>
  <si>
    <t>Attractiveness (t)</t>
  </si>
  <si>
    <t>Convenience</t>
  </si>
  <si>
    <t>Performance</t>
  </si>
  <si>
    <t>Efficiency</t>
  </si>
  <si>
    <t>NAME AND DESCRIPTION</t>
  </si>
  <si>
    <t>Stainless material – makes the appliance attractive and durable</t>
  </si>
  <si>
    <t>Recyclable materials – environmentally friendly, recyclable</t>
  </si>
  <si>
    <t>Energy efficiency – uses less electric power</t>
  </si>
  <si>
    <t>Lighter and more compact – easier installation</t>
  </si>
  <si>
    <t>Impact-resistance – more resistant frame</t>
  </si>
  <si>
    <t>Noise reduction – less noisy operation</t>
  </si>
  <si>
    <t>Improved battery capacity – longer performance per charge</t>
  </si>
  <si>
    <t>Self-cleaning – automatic container cleansing</t>
  </si>
  <si>
    <t>Speed settings – three operating speeds</t>
  </si>
  <si>
    <t>Digital controls – luminous digital display</t>
  </si>
  <si>
    <t>Voice assistance integration – Siri/Alexa control</t>
  </si>
  <si>
    <t>Automation and programmability – automatic start/end</t>
  </si>
  <si>
    <t>Multifunctional accessories – compatibility with accessories</t>
  </si>
  <si>
    <t>Mapping technology – efficient navigation and obstacle avoidance</t>
  </si>
  <si>
    <t>PERIOD</t>
  </si>
  <si>
    <t>CLASSIFICATION</t>
  </si>
  <si>
    <t>Eco-friendliness</t>
  </si>
  <si>
    <t>Extra features</t>
  </si>
  <si>
    <r>
      <t>High segment</t>
    </r>
    <r>
      <rPr>
        <sz val="9"/>
        <color theme="1"/>
        <rFont val="Calibri"/>
        <family val="2"/>
      </rPr>
      <t xml:space="preserve"> → values sophistication, performance, advanced features, technology</t>
    </r>
  </si>
  <si>
    <r>
      <t>Low segment</t>
    </r>
    <r>
      <rPr>
        <sz val="9"/>
        <color theme="1"/>
        <rFont val="Calibri"/>
        <family val="2"/>
      </rPr>
      <t xml:space="preserve"> → values convenience, efficiency, operating cost, ease of use</t>
    </r>
  </si>
  <si>
    <t>Availability 
(t-1)</t>
  </si>
  <si>
    <t>Per Company</t>
  </si>
  <si>
    <t>Total Market</t>
  </si>
  <si>
    <t>Row Labels</t>
  </si>
  <si>
    <t>Grand Total</t>
  </si>
  <si>
    <t>Sum of Total Market</t>
  </si>
  <si>
    <r>
      <t>High segment</t>
    </r>
    <r>
      <rPr>
        <sz val="9"/>
        <color theme="1"/>
        <rFont val="Calibri"/>
        <family val="2"/>
      </rPr>
      <t xml:space="preserve"> → TV</t>
    </r>
  </si>
  <si>
    <r>
      <t>Low segment</t>
    </r>
    <r>
      <rPr>
        <sz val="9"/>
        <color theme="1"/>
        <rFont val="Calibri"/>
        <family val="2"/>
      </rPr>
      <t xml:space="preserve"> → Radio</t>
    </r>
  </si>
  <si>
    <t>Projected demand</t>
  </si>
  <si>
    <t>Market Share</t>
  </si>
  <si>
    <t>Demand Projection</t>
  </si>
  <si>
    <t>Awareness (t-1)</t>
  </si>
  <si>
    <t>Awareness
(t)</t>
  </si>
  <si>
    <t>Salespeople (t)</t>
  </si>
  <si>
    <t>Salesforce Effectiveness %</t>
  </si>
  <si>
    <t>Market Share Region %</t>
  </si>
  <si>
    <t>Market Share Segment %</t>
  </si>
  <si>
    <t>Avg Market Price 
(t-1)</t>
  </si>
  <si>
    <t>Price 
(t-1)</t>
  </si>
  <si>
    <t>Market Share 
(t-1)</t>
  </si>
  <si>
    <t>Awar W</t>
  </si>
  <si>
    <t>Attr W</t>
  </si>
  <si>
    <t>Avai W</t>
  </si>
  <si>
    <t>Pri W</t>
  </si>
  <si>
    <t>MediaFit TV</t>
  </si>
  <si>
    <t>MediaFit Radio</t>
  </si>
  <si>
    <t>β</t>
  </si>
  <si>
    <t>γ_market</t>
  </si>
  <si>
    <t>α</t>
  </si>
  <si>
    <t>Decay Rate</t>
  </si>
  <si>
    <t>Awareness-Focused GRPs</t>
  </si>
  <si>
    <t>Diminishing Returns</t>
  </si>
  <si>
    <t>Market Saturation</t>
  </si>
  <si>
    <t>Decay</t>
  </si>
  <si>
    <t>Ad Impact</t>
  </si>
  <si>
    <t>COST COGS</t>
  </si>
  <si>
    <t>COST INI</t>
  </si>
  <si>
    <t>Awareness
(t-1)</t>
  </si>
  <si>
    <t>Rationale</t>
  </si>
  <si>
    <t>Stainless material</t>
  </si>
  <si>
    <t>High values premium aesthetics; Low values durability</t>
  </si>
  <si>
    <t>High values sustainability; Low less concerned</t>
  </si>
  <si>
    <t>Energy efficiency</t>
  </si>
  <si>
    <t>High moderate interest; Low values cost savings</t>
  </si>
  <si>
    <t>Lighter/compact</t>
  </si>
  <si>
    <t>High values space (urban); Low values convenience</t>
  </si>
  <si>
    <t>Impact resistance</t>
  </si>
  <si>
    <t>High moderate; Low values practical durability</t>
  </si>
  <si>
    <t>Noise reduction</t>
  </si>
  <si>
    <t>High values quiet premium experience; Low less priority</t>
  </si>
  <si>
    <t>Improved battery</t>
  </si>
  <si>
    <t>Both value performance, High slightly more</t>
  </si>
  <si>
    <t>Self-cleaning</t>
  </si>
  <si>
    <t>High values luxury convenience; Low sees as unnecessary</t>
  </si>
  <si>
    <t>Speed settings</t>
  </si>
  <si>
    <t>High values customization; Low prefers simple</t>
  </si>
  <si>
    <t>Digital controls</t>
  </si>
  <si>
    <t>High loves tech interface; Low intimidated</t>
  </si>
  <si>
    <t>Voice assistance</t>
  </si>
  <si>
    <t>High early adopters; Low unnecessary complexity</t>
  </si>
  <si>
    <t>Automation/programmability</t>
  </si>
  <si>
    <t>High values smart features; Low prefers manual control</t>
  </si>
  <si>
    <t>Multifunctional accessories</t>
  </si>
  <si>
    <t>High values versatility; Low basic use sufficient</t>
  </si>
  <si>
    <t>Mapping technology</t>
  </si>
  <si>
    <t>High smart home integration; Low overkill</t>
  </si>
  <si>
    <t>Base Points</t>
  </si>
  <si>
    <t>Decayed Attractiveness (t-1)</t>
  </si>
  <si>
    <t>Starting Attractiveness</t>
  </si>
  <si>
    <t>Feature-Focused GRPs</t>
  </si>
  <si>
    <t>Communication Boost</t>
  </si>
  <si>
    <t>γ</t>
  </si>
  <si>
    <t>High Segment Premium</t>
  </si>
  <si>
    <t>Segment Multiplier</t>
  </si>
  <si>
    <t>Morale Factor</t>
  </si>
  <si>
    <t>Resignation Impact</t>
  </si>
  <si>
    <t>Effective Salespeople</t>
  </si>
  <si>
    <t>Availability (t)</t>
  </si>
  <si>
    <t>decay</t>
  </si>
  <si>
    <t>months threshold</t>
  </si>
  <si>
    <t>salesforce quits</t>
  </si>
  <si>
    <t>base effectiveness</t>
  </si>
  <si>
    <t>diminishing returns exponent</t>
  </si>
  <si>
    <t>Lost Sales Months (t-1)</t>
  </si>
  <si>
    <t>adjustment speed</t>
  </si>
  <si>
    <t>Price Ratio</t>
  </si>
  <si>
    <t xml:space="preserve">Price Sensitivity </t>
  </si>
  <si>
    <t>Raw Price Score</t>
  </si>
  <si>
    <t xml:space="preserve">Price Score (t) </t>
  </si>
  <si>
    <t>Price Score min</t>
  </si>
  <si>
    <t>Price Score max</t>
  </si>
  <si>
    <t>Price Sensitivity - High segment</t>
  </si>
  <si>
    <t>Price Sensitivity - Low segment</t>
  </si>
  <si>
    <t>Price Score (t)</t>
  </si>
  <si>
    <t xml:space="preserve">Avg Market Awareness </t>
  </si>
  <si>
    <t xml:space="preserve">Avg Market Attractiveness </t>
  </si>
  <si>
    <t>Avg Market Availability</t>
  </si>
  <si>
    <t>Avg Market Price Score</t>
  </si>
  <si>
    <t>competitors</t>
  </si>
  <si>
    <t>Utility</t>
  </si>
  <si>
    <t>Avg Competitor Utility</t>
  </si>
  <si>
    <t xml:space="preserve"> Achievable Market Share</t>
  </si>
  <si>
    <t>λ_initial</t>
  </si>
  <si>
    <t>λ_mature</t>
  </si>
  <si>
    <t>periods to maturity</t>
  </si>
  <si>
    <t>Final Market Share (t)</t>
  </si>
  <si>
    <t>Seasonality</t>
  </si>
  <si>
    <t>Awareness % (t)</t>
  </si>
  <si>
    <t>Attractiveness % (t)</t>
  </si>
  <si>
    <t>Availability % (t)</t>
  </si>
  <si>
    <t>Inertia W</t>
  </si>
  <si>
    <t>Growth</t>
  </si>
  <si>
    <t>Demand by period</t>
  </si>
  <si>
    <t>SIM1</t>
  </si>
  <si>
    <t>A1</t>
  </si>
  <si>
    <t>A2</t>
  </si>
  <si>
    <t>A3</t>
  </si>
  <si>
    <t>A4</t>
  </si>
  <si>
    <t>38.2</t>
  </si>
  <si>
    <t>44.8</t>
  </si>
  <si>
    <t>40.2</t>
  </si>
  <si>
    <t>18.0</t>
  </si>
  <si>
    <t>20.8</t>
  </si>
  <si>
    <t>7.9</t>
  </si>
  <si>
    <t>37.8</t>
  </si>
  <si>
    <t>16.1</t>
  </si>
  <si>
    <t>8.1</t>
  </si>
  <si>
    <t>28.0</t>
  </si>
  <si>
    <t>19.0</t>
  </si>
  <si>
    <t>6.3</t>
  </si>
  <si>
    <t>36.7</t>
  </si>
  <si>
    <t>16.8</t>
  </si>
  <si>
    <t>30.1</t>
  </si>
  <si>
    <t>24.2</t>
  </si>
  <si>
    <t>27.7</t>
  </si>
  <si>
    <t>31.9</t>
  </si>
  <si>
    <t>20.0</t>
  </si>
  <si>
    <t>27.3</t>
  </si>
  <si>
    <t>33.1</t>
  </si>
  <si>
    <t>24.3</t>
  </si>
  <si>
    <t>22.0</t>
  </si>
  <si>
    <t>20.7</t>
  </si>
  <si>
    <t>40.7</t>
  </si>
  <si>
    <t>0.2</t>
  </si>
  <si>
    <t>45.2</t>
  </si>
  <si>
    <t>13.9</t>
  </si>
  <si>
    <t>34.3</t>
  </si>
  <si>
    <t>24.8</t>
  </si>
  <si>
    <t>19.5</t>
  </si>
  <si>
    <t>21.4</t>
  </si>
  <si>
    <t>49.8</t>
  </si>
  <si>
    <t>0.3</t>
  </si>
  <si>
    <t>32.1</t>
  </si>
  <si>
    <t>17.9</t>
  </si>
  <si>
    <t>36.4</t>
  </si>
  <si>
    <t>18.3</t>
  </si>
  <si>
    <t>23.4</t>
  </si>
  <si>
    <t>21.9</t>
  </si>
  <si>
    <t>42.2</t>
  </si>
  <si>
    <t>0.1</t>
  </si>
  <si>
    <t>43.7</t>
  </si>
  <si>
    <t>14.1</t>
  </si>
  <si>
    <t>28.2</t>
  </si>
  <si>
    <t>40.5</t>
  </si>
  <si>
    <t>13.2</t>
  </si>
  <si>
    <t>18.2</t>
  </si>
  <si>
    <t>14.6</t>
  </si>
  <si>
    <t>26.6</t>
  </si>
  <si>
    <t>27.9</t>
  </si>
  <si>
    <t>30.8</t>
  </si>
  <si>
    <t>28.1</t>
  </si>
  <si>
    <t>39.8</t>
  </si>
  <si>
    <t>26.5</t>
  </si>
  <si>
    <t>35.4</t>
  </si>
  <si>
    <t>78.00</t>
  </si>
  <si>
    <t>102.00</t>
  </si>
  <si>
    <t>54.00</t>
  </si>
  <si>
    <t>90.00</t>
  </si>
  <si>
    <t>82.00</t>
  </si>
  <si>
    <t>105.00</t>
  </si>
  <si>
    <t>137.00</t>
  </si>
  <si>
    <t>91.00</t>
  </si>
  <si>
    <t>120.00</t>
  </si>
  <si>
    <t>114.00</t>
  </si>
  <si>
    <t>20.00</t>
  </si>
  <si>
    <t>75.00</t>
  </si>
  <si>
    <t>Improvements</t>
  </si>
  <si>
    <t>A1 - Maison Sigma - A</t>
  </si>
  <si>
    <t>A2 - Odisseum - A</t>
  </si>
  <si>
    <t>A3 - AirFlow Six - A</t>
  </si>
  <si>
    <t>A4 - Electron - A</t>
  </si>
  <si>
    <t>STAINLESS MATERIAL</t>
  </si>
  <si>
    <t>​</t>
  </si>
  <si>
    <t>✔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</si>
  <si>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</si>
  <si>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</si>
  <si>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</si>
  <si>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</si>
  <si>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</si>
  <si>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</si>
  <si>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</si>
  <si>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</si>
  <si>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</si>
  <si>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</si>
  <si>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</si>
  <si>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</si>
  <si>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</si>
  <si>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>60.71</t>
  </si>
  <si>
    <t>72.62</t>
  </si>
  <si>
    <t>61.02</t>
  </si>
  <si>
    <t>67.56</t>
  </si>
  <si>
    <t>40.99</t>
  </si>
  <si>
    <t>61.69</t>
  </si>
  <si>
    <t>45.93</t>
  </si>
  <si>
    <t>48.83</t>
  </si>
  <si>
    <t>53.67</t>
  </si>
  <si>
    <t>64.50</t>
  </si>
  <si>
    <t>53.54</t>
  </si>
  <si>
    <t>60.03</t>
  </si>
  <si>
    <t>33.05</t>
  </si>
  <si>
    <t>49.41</t>
  </si>
  <si>
    <t>37.97</t>
  </si>
  <si>
    <t>39.10</t>
  </si>
  <si>
    <t>48.17</t>
  </si>
  <si>
    <t>58.59</t>
  </si>
  <si>
    <t>48.24</t>
  </si>
  <si>
    <t>53.49</t>
  </si>
  <si>
    <t>32.54</t>
  </si>
  <si>
    <t>46.83</t>
  </si>
  <si>
    <t>36.87</t>
  </si>
  <si>
    <t>38.67</t>
  </si>
  <si>
    <t>31.68</t>
  </si>
  <si>
    <t>43.37</t>
  </si>
  <si>
    <t>33.63</t>
  </si>
  <si>
    <t>43.00</t>
  </si>
  <si>
    <t>16.65</t>
  </si>
  <si>
    <t>28.46</t>
  </si>
  <si>
    <t>21.02</t>
  </si>
  <si>
    <t>30.12</t>
  </si>
  <si>
    <t>31.67</t>
  </si>
  <si>
    <t>42.71</t>
  </si>
  <si>
    <t>47.41</t>
  </si>
  <si>
    <t>26.83</t>
  </si>
  <si>
    <t>40.89</t>
  </si>
  <si>
    <t>76.51</t>
  </si>
  <si>
    <t>84.14</t>
  </si>
  <si>
    <t>39.85</t>
  </si>
  <si>
    <t>82.42</t>
  </si>
  <si>
    <t>96.32</t>
  </si>
  <si>
    <t>53.10</t>
  </si>
  <si>
    <t>91.10</t>
  </si>
  <si>
    <t>93.54</t>
  </si>
  <si>
    <t>42.22</t>
  </si>
  <si>
    <t>87.16</t>
  </si>
  <si>
    <t>100.00</t>
  </si>
  <si>
    <t>58.77</t>
  </si>
  <si>
    <t>94.44</t>
  </si>
  <si>
    <t>81.55</t>
  </si>
  <si>
    <t>95.32</t>
  </si>
  <si>
    <t>63.21</t>
  </si>
  <si>
    <t>87.01</t>
  </si>
  <si>
    <t>96.82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</si>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</sst>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8" x14ac:knownFonts="1">
    <font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name val="Calibri"/>
      <family val="2"/>
    </font>
    <font>
      <sz val="9"/>
      <color rgb="FF0000FF"/>
      <name val="Calibri"/>
      <family val="2"/>
    </font>
    <font>
      <b/>
      <sz val="10"/>
      <name val="Arial"/>
      <family val="2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8" borderId="7" applyNumberFormat="0" applyFont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2" fontId="0" fillId="0" borderId="0" xfId="0" applyNumberFormat="1" applyAlignment="1">
      <alignment horizontal="right" vertical="center" wrapText="1"/>
    </xf>
    <xf numFmtId="3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/>
    <xf numFmtId="3" fontId="4" fillId="0" borderId="0" xfId="0" applyNumberFormat="1" applyFont="1" applyAlignment="1">
      <alignment vertical="center" wrapText="1"/>
    </xf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3" fontId="0" fillId="0" borderId="0" xfId="0" applyNumberFormat="1" applyAlignment="1">
      <alignment wrapText="1"/>
    </xf>
    <xf numFmtId="3" fontId="4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center" vertical="center" wrapText="1"/>
    </xf>
    <xf numFmtId="0" fontId="2" fillId="0" borderId="0" xfId="0" applyFont="1"/>
    <xf numFmtId="1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wrapText="1"/>
    </xf>
    <xf numFmtId="3" fontId="0" fillId="0" borderId="2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wrapText="1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" fontId="0" fillId="5" borderId="0" xfId="0" applyNumberFormat="1" applyFill="1"/>
    <xf numFmtId="0" fontId="4" fillId="0" borderId="0" xfId="0" applyFont="1"/>
    <xf numFmtId="0" fontId="0" fillId="0" borderId="1" xfId="0" applyBorder="1" applyAlignment="1">
      <alignment vertical="center"/>
    </xf>
    <xf numFmtId="9" fontId="2" fillId="0" borderId="0" xfId="1" applyFont="1" applyAlignment="1">
      <alignment horizontal="center" vertical="center" wrapText="1"/>
    </xf>
    <xf numFmtId="9" fontId="0" fillId="5" borderId="0" xfId="1" applyFont="1" applyFill="1"/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" fontId="0" fillId="5" borderId="0" xfId="0" applyNumberFormat="1" applyFill="1"/>
    <xf numFmtId="0" fontId="5" fillId="7" borderId="6" xfId="0" applyFont="1" applyFill="1" applyBorder="1"/>
    <xf numFmtId="0" fontId="0" fillId="0" borderId="0" xfId="0" applyAlignment="1">
      <alignment horizontal="left"/>
    </xf>
    <xf numFmtId="0" fontId="6" fillId="8" borderId="7" xfId="2" applyFont="1" applyAlignment="1">
      <alignment vertical="center" wrapText="1"/>
    </xf>
    <xf numFmtId="0" fontId="6" fillId="8" borderId="7" xfId="2" applyFont="1" applyAlignment="1">
      <alignment vertical="center"/>
    </xf>
    <xf numFmtId="0" fontId="6" fillId="8" borderId="7" xfId="2" applyFont="1"/>
    <xf numFmtId="3" fontId="6" fillId="8" borderId="7" xfId="2" applyNumberFormat="1" applyFont="1"/>
    <xf numFmtId="0" fontId="0" fillId="8" borderId="7" xfId="2" applyFont="1" applyAlignment="1">
      <alignment vertical="center" wrapText="1"/>
    </xf>
    <xf numFmtId="0" fontId="0" fillId="8" borderId="7" xfId="2" applyFont="1" applyAlignment="1">
      <alignment vertical="center"/>
    </xf>
    <xf numFmtId="0" fontId="0" fillId="8" borderId="7" xfId="2" applyFont="1"/>
    <xf numFmtId="3" fontId="0" fillId="8" borderId="7" xfId="2" applyNumberFormat="1" applyFont="1"/>
    <xf numFmtId="0" fontId="2" fillId="8" borderId="7" xfId="2" applyFont="1"/>
    <xf numFmtId="0" fontId="7" fillId="8" borderId="7" xfId="2" applyFont="1"/>
  </cellXfs>
  <cellStyles count="3">
    <cellStyle name="Normal" xfId="0" builtinId="0"/>
    <cellStyle name="Note" xfId="2" builtinId="1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Tomas Tapia" refreshedDate="46026.65434479167" createdVersion="8" refreshedVersion="8" minRefreshableVersion="3" recordCount="60" xr:uid="{27B605AA-D7A7-4BD2-A1A7-B3B8F30B9E57}">
  <cacheSource type="worksheet">
    <worksheetSource ref="L1:O61" sheet="DEMAND"/>
  </cacheSource>
  <cacheFields count="4">
    <cacheField name="Perio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Region" numFmtId="0">
      <sharedItems/>
    </cacheField>
    <cacheField name="Per Company" numFmtId="3">
      <sharedItems containsSemiMixedTypes="0" containsString="0" containsNumber="1" containsInteger="1" minValue="0" maxValue="11400"/>
    </cacheField>
    <cacheField name="Total Market" numFmtId="3">
      <sharedItems containsSemiMixedTypes="0" containsString="0" containsNumber="1" containsInteger="1" minValue="0" maxValue="4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606E-40C2-4C98-A0FA-976CF1C4EDE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14" firstHeaderRow="1" firstDataRow="1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3" showAll="0"/>
    <pivotField dataField="1" numFmtId="3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Market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0266-3ECC-4EFA-B87F-96016C7A31F2}">
  <sheetPr>
    <tabColor theme="4" tint="0.79998168889431442"/>
  </sheetPr>
  <dimension ref="B1:T61"/>
  <sheetViews>
    <sheetView topLeftCell="A5" zoomScale="115" zoomScaleNormal="115" workbookViewId="0">
      <selection activeCell="O19" sqref="O19"/>
    </sheetView>
  </sheetViews>
  <sheetFormatPr defaultRowHeight="12" x14ac:dyDescent="0.2"/>
  <cols>
    <col min="1" max="1" width="2.6640625" customWidth="1"/>
    <col min="2" max="2" width="17.33203125" bestFit="1" customWidth="1"/>
    <col min="3" max="3" width="7.33203125" customWidth="1"/>
    <col min="9" max="9" width="10" customWidth="1"/>
    <col min="11" max="11" width="9.83203125" customWidth="1"/>
    <col min="12" max="12" width="9" bestFit="1" customWidth="1"/>
    <col min="13" max="13" width="9.5" bestFit="1" customWidth="1"/>
    <col min="14" max="14" width="11.83203125" style="7" bestFit="1" customWidth="1"/>
    <col min="15" max="15" width="9.5" style="7" bestFit="1" customWidth="1"/>
    <col min="16" max="16" width="12" style="9" bestFit="1" customWidth="1"/>
    <col min="17" max="17" width="13.1640625" style="7" bestFit="1" customWidth="1"/>
    <col min="18" max="18" width="12.6640625" customWidth="1"/>
    <col min="19" max="19" width="12.6640625" bestFit="1" customWidth="1"/>
    <col min="20" max="20" width="10.83203125" customWidth="1"/>
    <col min="21" max="21" width="7.6640625" customWidth="1"/>
    <col min="23" max="23" width="16.6640625" customWidth="1"/>
    <col min="24" max="24" width="17.33203125" customWidth="1"/>
    <col min="25" max="25" width="41.83203125" customWidth="1"/>
  </cols>
  <sheetData>
    <row r="1" spans="2:20" ht="24" x14ac:dyDescent="0.2">
      <c r="B1" t="s">
        <v>22</v>
      </c>
      <c r="C1">
        <v>4</v>
      </c>
      <c r="L1" s="2" t="s">
        <v>0</v>
      </c>
      <c r="M1" s="2" t="s">
        <v>2</v>
      </c>
      <c r="N1" s="2" t="s">
        <v>71</v>
      </c>
      <c r="O1" s="2" t="s">
        <v>72</v>
      </c>
      <c r="P1" s="46" t="s">
        <v>79</v>
      </c>
      <c r="Q1" s="2" t="s">
        <v>80</v>
      </c>
      <c r="S1" s="37" t="s">
        <v>73</v>
      </c>
      <c r="T1" t="s">
        <v>75</v>
      </c>
    </row>
    <row r="2" spans="2:20" x14ac:dyDescent="0.2">
      <c r="L2">
        <v>1</v>
      </c>
      <c r="M2" t="s">
        <v>6</v>
      </c>
      <c r="N2" s="7">
        <v>4100</v>
      </c>
      <c r="O2" s="7">
        <f t="shared" ref="O2:O33" si="0">+N2*4</f>
        <v>16400</v>
      </c>
      <c r="P2" s="9">
        <v>0.25</v>
      </c>
      <c r="Q2" s="7">
        <f t="shared" ref="Q2:Q33" si="1">+O2*P2</f>
        <v>4100</v>
      </c>
      <c r="S2" s="38">
        <v>1</v>
      </c>
      <c r="T2" s="7">
        <v>26400</v>
      </c>
    </row>
    <row r="3" spans="2:20" x14ac:dyDescent="0.2">
      <c r="B3" t="s">
        <v>176</v>
      </c>
      <c r="L3">
        <v>1</v>
      </c>
      <c r="M3" t="s">
        <v>14</v>
      </c>
      <c r="N3" s="7">
        <v>1800</v>
      </c>
      <c r="O3" s="7">
        <f t="shared" si="0"/>
        <v>7200</v>
      </c>
      <c r="P3" s="9">
        <v>0.25</v>
      </c>
      <c r="Q3" s="7">
        <f t="shared" si="1"/>
        <v>1800</v>
      </c>
      <c r="S3" s="38">
        <v>2</v>
      </c>
      <c r="T3" s="7">
        <v>26800</v>
      </c>
    </row>
    <row r="4" spans="2:20" x14ac:dyDescent="0.2">
      <c r="B4">
        <v>1</v>
      </c>
      <c r="C4" s="5">
        <v>0.28999999999999998</v>
      </c>
      <c r="L4">
        <v>1</v>
      </c>
      <c r="M4" t="s">
        <v>15</v>
      </c>
      <c r="N4" s="7">
        <v>700</v>
      </c>
      <c r="O4" s="7">
        <f t="shared" si="0"/>
        <v>2800</v>
      </c>
      <c r="P4" s="9">
        <v>0.25</v>
      </c>
      <c r="Q4" s="7">
        <f t="shared" si="1"/>
        <v>700</v>
      </c>
      <c r="S4" s="38">
        <v>3</v>
      </c>
      <c r="T4" s="7">
        <v>47600</v>
      </c>
    </row>
    <row r="5" spans="2:20" x14ac:dyDescent="0.2">
      <c r="B5">
        <v>2</v>
      </c>
      <c r="C5" s="5">
        <v>0.28000000000000003</v>
      </c>
      <c r="L5">
        <v>1</v>
      </c>
      <c r="M5" t="s">
        <v>16</v>
      </c>
      <c r="N5" s="7">
        <v>0</v>
      </c>
      <c r="O5" s="7">
        <f t="shared" si="0"/>
        <v>0</v>
      </c>
      <c r="P5" s="9">
        <f t="shared" ref="P5:P6" si="2">+O5*4</f>
        <v>0</v>
      </c>
      <c r="Q5" s="7">
        <f t="shared" si="1"/>
        <v>0</v>
      </c>
      <c r="S5" s="38">
        <v>4</v>
      </c>
      <c r="T5" s="7">
        <v>46000</v>
      </c>
    </row>
    <row r="6" spans="2:20" x14ac:dyDescent="0.2">
      <c r="B6">
        <v>3</v>
      </c>
      <c r="C6" s="5">
        <v>0.43</v>
      </c>
      <c r="L6">
        <v>1</v>
      </c>
      <c r="M6" t="s">
        <v>17</v>
      </c>
      <c r="N6" s="7">
        <v>0</v>
      </c>
      <c r="O6" s="7">
        <f t="shared" si="0"/>
        <v>0</v>
      </c>
      <c r="P6" s="9">
        <f t="shared" si="2"/>
        <v>0</v>
      </c>
      <c r="Q6" s="7">
        <f t="shared" si="1"/>
        <v>0</v>
      </c>
      <c r="S6" s="38">
        <v>5</v>
      </c>
      <c r="T6" s="7">
        <v>42800</v>
      </c>
    </row>
    <row r="7" spans="2:20" x14ac:dyDescent="0.2">
      <c r="L7">
        <v>2</v>
      </c>
      <c r="M7" t="s">
        <v>6</v>
      </c>
      <c r="N7" s="7">
        <v>3600</v>
      </c>
      <c r="O7" s="7">
        <f t="shared" si="0"/>
        <v>14400</v>
      </c>
      <c r="P7" s="9">
        <v>0.25</v>
      </c>
      <c r="Q7" s="7">
        <f t="shared" si="1"/>
        <v>3600</v>
      </c>
      <c r="S7" s="38">
        <v>6</v>
      </c>
      <c r="T7" s="7">
        <v>69312</v>
      </c>
    </row>
    <row r="8" spans="2:20" x14ac:dyDescent="0.2">
      <c r="B8" s="53" t="s">
        <v>23</v>
      </c>
      <c r="C8" s="53"/>
      <c r="D8" s="53"/>
      <c r="E8" s="53"/>
      <c r="F8" s="53"/>
      <c r="G8" s="53"/>
      <c r="H8" s="53"/>
      <c r="I8" s="53"/>
      <c r="L8">
        <v>2</v>
      </c>
      <c r="M8" t="s">
        <v>14</v>
      </c>
      <c r="N8" s="7">
        <v>1900</v>
      </c>
      <c r="O8" s="7">
        <f t="shared" si="0"/>
        <v>7600</v>
      </c>
      <c r="P8" s="9">
        <v>0.25</v>
      </c>
      <c r="Q8" s="7">
        <f t="shared" si="1"/>
        <v>1900</v>
      </c>
      <c r="S8" s="38">
        <v>7</v>
      </c>
      <c r="T8" s="7">
        <v>64800</v>
      </c>
    </row>
    <row r="9" spans="2:20" x14ac:dyDescent="0.2">
      <c r="B9" t="s">
        <v>13</v>
      </c>
      <c r="D9" t="s">
        <v>6</v>
      </c>
      <c r="E9" t="s">
        <v>14</v>
      </c>
      <c r="F9" t="s">
        <v>15</v>
      </c>
      <c r="G9" t="s">
        <v>16</v>
      </c>
      <c r="H9" t="s">
        <v>17</v>
      </c>
      <c r="I9" t="s">
        <v>27</v>
      </c>
      <c r="L9">
        <v>2</v>
      </c>
      <c r="M9" t="s">
        <v>15</v>
      </c>
      <c r="N9" s="7">
        <v>1200</v>
      </c>
      <c r="O9" s="7">
        <f t="shared" si="0"/>
        <v>4800</v>
      </c>
      <c r="P9" s="9">
        <v>0.25</v>
      </c>
      <c r="Q9" s="7">
        <f t="shared" si="1"/>
        <v>1200</v>
      </c>
      <c r="S9" s="38">
        <v>8</v>
      </c>
      <c r="T9" s="7">
        <v>61600</v>
      </c>
    </row>
    <row r="10" spans="2:20" x14ac:dyDescent="0.2">
      <c r="B10" t="s">
        <v>11</v>
      </c>
      <c r="D10" s="18">
        <v>35200</v>
      </c>
      <c r="E10" s="18">
        <v>24000</v>
      </c>
      <c r="F10" s="18">
        <v>19600</v>
      </c>
      <c r="G10" s="18">
        <v>10000</v>
      </c>
      <c r="H10" s="18">
        <v>9600</v>
      </c>
      <c r="I10" s="18">
        <f>+SUM(D10:H10)</f>
        <v>98400</v>
      </c>
      <c r="L10">
        <v>2</v>
      </c>
      <c r="M10" t="s">
        <v>16</v>
      </c>
      <c r="N10" s="7">
        <v>0</v>
      </c>
      <c r="O10" s="7">
        <f t="shared" si="0"/>
        <v>0</v>
      </c>
      <c r="P10" s="9">
        <f t="shared" ref="P10:P11" si="3">+O10*4</f>
        <v>0</v>
      </c>
      <c r="Q10" s="7">
        <f t="shared" si="1"/>
        <v>0</v>
      </c>
      <c r="S10" s="38">
        <v>9</v>
      </c>
      <c r="T10" s="7">
        <v>101200</v>
      </c>
    </row>
    <row r="11" spans="2:20" x14ac:dyDescent="0.2">
      <c r="B11" t="s">
        <v>12</v>
      </c>
      <c r="D11" s="18">
        <v>74800</v>
      </c>
      <c r="E11" s="18">
        <v>51000</v>
      </c>
      <c r="F11" s="18">
        <v>50400</v>
      </c>
      <c r="G11" s="18">
        <v>40000</v>
      </c>
      <c r="H11" s="18">
        <v>20400</v>
      </c>
      <c r="I11" s="18">
        <f>+SUM(D11:H11)</f>
        <v>236600</v>
      </c>
      <c r="K11" s="20"/>
      <c r="L11">
        <v>2</v>
      </c>
      <c r="M11" t="s">
        <v>17</v>
      </c>
      <c r="N11" s="7">
        <v>0</v>
      </c>
      <c r="O11" s="7">
        <f t="shared" si="0"/>
        <v>0</v>
      </c>
      <c r="P11" s="9">
        <f t="shared" si="3"/>
        <v>0</v>
      </c>
      <c r="Q11" s="7">
        <f t="shared" si="1"/>
        <v>0</v>
      </c>
      <c r="S11" s="38">
        <v>10</v>
      </c>
      <c r="T11" s="7">
        <v>78400</v>
      </c>
    </row>
    <row r="12" spans="2:20" x14ac:dyDescent="0.2">
      <c r="D12" s="7">
        <f>+SUM(D10:D11)</f>
        <v>110000</v>
      </c>
      <c r="E12" s="7">
        <f>+SUM(E10:E11)</f>
        <v>75000</v>
      </c>
      <c r="F12" s="7">
        <f>+SUM(F10:F11)</f>
        <v>70000</v>
      </c>
      <c r="G12" s="7">
        <f>+SUM(G10:G11)</f>
        <v>50000</v>
      </c>
      <c r="H12" s="7">
        <f>+SUM(H10:H11)</f>
        <v>30000</v>
      </c>
      <c r="I12" s="7">
        <f>+SUM(D12:H12)</f>
        <v>335000</v>
      </c>
      <c r="K12" s="20"/>
      <c r="L12">
        <v>3</v>
      </c>
      <c r="M12" t="s">
        <v>6</v>
      </c>
      <c r="N12" s="7">
        <v>6600</v>
      </c>
      <c r="O12" s="7">
        <f t="shared" si="0"/>
        <v>26400</v>
      </c>
      <c r="P12" s="9">
        <v>0.25</v>
      </c>
      <c r="Q12" s="7">
        <f t="shared" si="1"/>
        <v>6600</v>
      </c>
      <c r="S12" s="38">
        <v>11</v>
      </c>
      <c r="T12" s="7">
        <v>74400</v>
      </c>
    </row>
    <row r="13" spans="2:20" x14ac:dyDescent="0.2">
      <c r="D13" s="7"/>
      <c r="E13" s="7"/>
      <c r="F13" s="7"/>
      <c r="G13" s="7"/>
      <c r="H13" s="7"/>
      <c r="K13" s="20"/>
      <c r="L13">
        <v>3</v>
      </c>
      <c r="M13" t="s">
        <v>14</v>
      </c>
      <c r="N13" s="7">
        <v>2700</v>
      </c>
      <c r="O13" s="7">
        <f t="shared" si="0"/>
        <v>10800</v>
      </c>
      <c r="P13" s="9">
        <v>0.25</v>
      </c>
      <c r="Q13" s="7">
        <f t="shared" si="1"/>
        <v>2700</v>
      </c>
      <c r="S13" s="38">
        <v>12</v>
      </c>
      <c r="T13" s="7">
        <v>122800</v>
      </c>
    </row>
    <row r="14" spans="2:20" x14ac:dyDescent="0.2">
      <c r="B14" t="s">
        <v>26</v>
      </c>
      <c r="D14" t="s">
        <v>6</v>
      </c>
      <c r="E14" t="s">
        <v>14</v>
      </c>
      <c r="F14" t="s">
        <v>15</v>
      </c>
      <c r="G14" t="s">
        <v>16</v>
      </c>
      <c r="H14" t="s">
        <v>17</v>
      </c>
      <c r="I14" t="s">
        <v>27</v>
      </c>
      <c r="K14" s="20"/>
      <c r="L14">
        <v>3</v>
      </c>
      <c r="M14" t="s">
        <v>15</v>
      </c>
      <c r="N14" s="7">
        <v>2600</v>
      </c>
      <c r="O14" s="7">
        <f t="shared" si="0"/>
        <v>10400</v>
      </c>
      <c r="P14" s="9">
        <v>0.25</v>
      </c>
      <c r="Q14" s="7">
        <f t="shared" si="1"/>
        <v>2600</v>
      </c>
      <c r="S14" s="38" t="s">
        <v>74</v>
      </c>
      <c r="T14" s="7">
        <v>762112</v>
      </c>
    </row>
    <row r="15" spans="2:20" x14ac:dyDescent="0.2">
      <c r="B15" s="10" t="s">
        <v>18</v>
      </c>
      <c r="D15" s="18">
        <f t="shared" ref="D15:I15" si="4">+SUM(D32:D34)</f>
        <v>14300</v>
      </c>
      <c r="E15" s="18">
        <f t="shared" si="4"/>
        <v>6400</v>
      </c>
      <c r="F15" s="18">
        <f t="shared" si="4"/>
        <v>4500</v>
      </c>
      <c r="G15" s="18">
        <f t="shared" si="4"/>
        <v>0</v>
      </c>
      <c r="H15" s="18">
        <f t="shared" si="4"/>
        <v>0</v>
      </c>
      <c r="I15" s="18">
        <f t="shared" si="4"/>
        <v>25200</v>
      </c>
      <c r="K15" s="20"/>
      <c r="L15">
        <v>3</v>
      </c>
      <c r="M15" t="s">
        <v>16</v>
      </c>
      <c r="N15" s="7">
        <v>0</v>
      </c>
      <c r="O15" s="7">
        <f t="shared" si="0"/>
        <v>0</v>
      </c>
      <c r="P15" s="9">
        <f t="shared" ref="P15:P16" si="5">+O15*4</f>
        <v>0</v>
      </c>
      <c r="Q15" s="7">
        <f t="shared" si="1"/>
        <v>0</v>
      </c>
    </row>
    <row r="16" spans="2:20" x14ac:dyDescent="0.2">
      <c r="B16" s="10" t="s">
        <v>19</v>
      </c>
      <c r="D16" s="18">
        <f t="shared" ref="D16:I16" si="6">+SUM(D35:D37)</f>
        <v>20000</v>
      </c>
      <c r="E16" s="18">
        <f t="shared" si="6"/>
        <v>9728</v>
      </c>
      <c r="F16" s="18">
        <f t="shared" si="6"/>
        <v>9800</v>
      </c>
      <c r="G16" s="18">
        <f t="shared" si="6"/>
        <v>0</v>
      </c>
      <c r="H16" s="18">
        <f t="shared" si="6"/>
        <v>0</v>
      </c>
      <c r="I16" s="18">
        <f t="shared" si="6"/>
        <v>39528</v>
      </c>
      <c r="K16" s="20"/>
      <c r="L16">
        <v>3</v>
      </c>
      <c r="M16" t="s">
        <v>17</v>
      </c>
      <c r="N16" s="7">
        <v>0</v>
      </c>
      <c r="O16" s="7">
        <f t="shared" si="0"/>
        <v>0</v>
      </c>
      <c r="P16" s="9">
        <f t="shared" si="5"/>
        <v>0</v>
      </c>
      <c r="Q16" s="7">
        <f t="shared" si="1"/>
        <v>0</v>
      </c>
    </row>
    <row r="17" spans="2:17" x14ac:dyDescent="0.2">
      <c r="B17" s="10" t="s">
        <v>20</v>
      </c>
      <c r="D17" s="43">
        <v>24000</v>
      </c>
      <c r="E17" s="43">
        <v>13132.800000000001</v>
      </c>
      <c r="F17" s="43">
        <v>14700</v>
      </c>
      <c r="G17" s="43">
        <v>4100</v>
      </c>
      <c r="H17" s="43">
        <v>3000</v>
      </c>
      <c r="I17" s="7">
        <f>+SUM(I38:I40)</f>
        <v>58932.799999999996</v>
      </c>
      <c r="K17" s="22"/>
      <c r="L17">
        <v>4</v>
      </c>
      <c r="M17" t="s">
        <v>6</v>
      </c>
      <c r="N17" s="7">
        <v>6000</v>
      </c>
      <c r="O17" s="7">
        <f t="shared" si="0"/>
        <v>24000</v>
      </c>
      <c r="P17" s="9">
        <v>0.25</v>
      </c>
      <c r="Q17" s="7">
        <f t="shared" si="1"/>
        <v>6000</v>
      </c>
    </row>
    <row r="18" spans="2:17" x14ac:dyDescent="0.2">
      <c r="B18" s="10" t="s">
        <v>21</v>
      </c>
      <c r="D18" s="43">
        <v>26400.000000000004</v>
      </c>
      <c r="E18" s="43">
        <v>16416</v>
      </c>
      <c r="F18" s="43">
        <v>17640</v>
      </c>
      <c r="G18" s="43">
        <v>8200</v>
      </c>
      <c r="H18" s="43">
        <v>5400</v>
      </c>
      <c r="I18" s="7">
        <f>+SUM(I41:I43)</f>
        <v>74056</v>
      </c>
      <c r="K18" s="22"/>
      <c r="L18">
        <v>4</v>
      </c>
      <c r="M18" t="s">
        <v>14</v>
      </c>
      <c r="N18" s="7">
        <v>2800</v>
      </c>
      <c r="O18" s="7">
        <f t="shared" si="0"/>
        <v>11200</v>
      </c>
      <c r="P18" s="9">
        <v>0.25</v>
      </c>
      <c r="Q18" s="7">
        <f t="shared" si="1"/>
        <v>2800</v>
      </c>
    </row>
    <row r="19" spans="2:17" x14ac:dyDescent="0.2">
      <c r="B19" t="s">
        <v>181</v>
      </c>
      <c r="K19" s="22"/>
      <c r="L19">
        <v>4</v>
      </c>
      <c r="M19" t="s">
        <v>15</v>
      </c>
      <c r="N19" s="7">
        <v>2700</v>
      </c>
      <c r="O19" s="7">
        <f t="shared" si="0"/>
        <v>10800</v>
      </c>
      <c r="P19" s="9">
        <v>0.25</v>
      </c>
      <c r="Q19" s="7">
        <f t="shared" si="1"/>
        <v>2700</v>
      </c>
    </row>
    <row r="20" spans="2:17" x14ac:dyDescent="0.2">
      <c r="B20" s="10" t="s">
        <v>19</v>
      </c>
      <c r="D20" s="9">
        <f t="shared" ref="D20:I22" si="7">IFERROR(+D16/D15-1,0)</f>
        <v>0.39860139860139854</v>
      </c>
      <c r="E20" s="9">
        <f t="shared" si="7"/>
        <v>0.52</v>
      </c>
      <c r="F20" s="9">
        <f t="shared" si="7"/>
        <v>1.1777777777777776</v>
      </c>
      <c r="G20" s="9">
        <f t="shared" si="7"/>
        <v>0</v>
      </c>
      <c r="H20" s="9">
        <f t="shared" si="7"/>
        <v>0</v>
      </c>
      <c r="I20" s="9">
        <f t="shared" si="7"/>
        <v>0.56857142857142851</v>
      </c>
      <c r="L20">
        <v>4</v>
      </c>
      <c r="M20" t="s">
        <v>16</v>
      </c>
      <c r="N20" s="7">
        <v>0</v>
      </c>
      <c r="O20" s="7">
        <f t="shared" si="0"/>
        <v>0</v>
      </c>
      <c r="P20" s="9">
        <f t="shared" ref="P20:P21" si="8">+O20*4</f>
        <v>0</v>
      </c>
      <c r="Q20" s="7">
        <f t="shared" si="1"/>
        <v>0</v>
      </c>
    </row>
    <row r="21" spans="2:17" x14ac:dyDescent="0.2">
      <c r="B21" s="10" t="s">
        <v>20</v>
      </c>
      <c r="D21" s="9">
        <f t="shared" si="7"/>
        <v>0.19999999999999996</v>
      </c>
      <c r="E21" s="9">
        <f t="shared" si="7"/>
        <v>0.35000000000000009</v>
      </c>
      <c r="F21" s="9">
        <f t="shared" si="7"/>
        <v>0.5</v>
      </c>
      <c r="G21" s="9">
        <f t="shared" si="7"/>
        <v>0</v>
      </c>
      <c r="H21" s="9">
        <f t="shared" si="7"/>
        <v>0</v>
      </c>
      <c r="I21" s="9">
        <f t="shared" si="7"/>
        <v>0.49091277069419137</v>
      </c>
      <c r="L21">
        <v>4</v>
      </c>
      <c r="M21" t="s">
        <v>17</v>
      </c>
      <c r="N21" s="7">
        <v>0</v>
      </c>
      <c r="O21" s="7">
        <f t="shared" si="0"/>
        <v>0</v>
      </c>
      <c r="P21" s="9">
        <f t="shared" si="8"/>
        <v>0</v>
      </c>
      <c r="Q21" s="7">
        <f t="shared" si="1"/>
        <v>0</v>
      </c>
    </row>
    <row r="22" spans="2:17" x14ac:dyDescent="0.2">
      <c r="B22" s="10" t="s">
        <v>21</v>
      </c>
      <c r="D22" s="9">
        <f t="shared" si="7"/>
        <v>0.10000000000000009</v>
      </c>
      <c r="E22" s="9">
        <f t="shared" si="7"/>
        <v>0.25</v>
      </c>
      <c r="F22" s="9">
        <f t="shared" si="7"/>
        <v>0.19999999999999996</v>
      </c>
      <c r="G22" s="9">
        <f t="shared" si="7"/>
        <v>1</v>
      </c>
      <c r="H22" s="9">
        <f t="shared" si="7"/>
        <v>0.8</v>
      </c>
      <c r="I22" s="9">
        <f t="shared" si="7"/>
        <v>0.25661770694757435</v>
      </c>
      <c r="J22" s="9"/>
      <c r="K22" s="21"/>
      <c r="L22">
        <v>5</v>
      </c>
      <c r="M22" t="s">
        <v>6</v>
      </c>
      <c r="N22" s="7">
        <v>5100</v>
      </c>
      <c r="O22" s="7">
        <f t="shared" si="0"/>
        <v>20400</v>
      </c>
      <c r="P22" s="9">
        <v>0.25</v>
      </c>
      <c r="Q22" s="7">
        <f t="shared" si="1"/>
        <v>5100</v>
      </c>
    </row>
    <row r="23" spans="2:17" x14ac:dyDescent="0.2">
      <c r="J23" s="9"/>
      <c r="K23" s="21"/>
      <c r="L23">
        <v>5</v>
      </c>
      <c r="M23" t="s">
        <v>14</v>
      </c>
      <c r="N23" s="7">
        <v>2900</v>
      </c>
      <c r="O23" s="7">
        <f t="shared" si="0"/>
        <v>11600</v>
      </c>
      <c r="P23" s="9">
        <v>0.25</v>
      </c>
      <c r="Q23" s="7">
        <f t="shared" si="1"/>
        <v>2900</v>
      </c>
    </row>
    <row r="24" spans="2:17" x14ac:dyDescent="0.2">
      <c r="J24" s="9"/>
      <c r="K24" s="21"/>
      <c r="L24">
        <v>5</v>
      </c>
      <c r="M24" t="s">
        <v>15</v>
      </c>
      <c r="N24" s="7">
        <v>2700</v>
      </c>
      <c r="O24" s="7">
        <f t="shared" si="0"/>
        <v>10800</v>
      </c>
      <c r="P24" s="9">
        <v>0.25</v>
      </c>
      <c r="Q24" s="7">
        <f t="shared" si="1"/>
        <v>2700</v>
      </c>
    </row>
    <row r="25" spans="2:17" x14ac:dyDescent="0.2">
      <c r="B25" t="s">
        <v>25</v>
      </c>
      <c r="D25" t="s">
        <v>6</v>
      </c>
      <c r="E25" t="s">
        <v>14</v>
      </c>
      <c r="F25" t="s">
        <v>15</v>
      </c>
      <c r="G25" t="s">
        <v>16</v>
      </c>
      <c r="H25" t="s">
        <v>17</v>
      </c>
      <c r="I25" t="s">
        <v>27</v>
      </c>
      <c r="K25" s="21"/>
      <c r="L25">
        <v>5</v>
      </c>
      <c r="M25" t="s">
        <v>16</v>
      </c>
      <c r="N25" s="7">
        <v>0</v>
      </c>
      <c r="O25" s="7">
        <f t="shared" si="0"/>
        <v>0</v>
      </c>
      <c r="P25" s="9">
        <f t="shared" ref="P25:P26" si="9">+O25*4</f>
        <v>0</v>
      </c>
      <c r="Q25" s="7">
        <f t="shared" si="1"/>
        <v>0</v>
      </c>
    </row>
    <row r="26" spans="2:17" x14ac:dyDescent="0.2">
      <c r="B26" s="10" t="s">
        <v>18</v>
      </c>
      <c r="D26" s="21">
        <f t="shared" ref="D26:I29" si="10">IFERROR(+D15/D$12,0)</f>
        <v>0.13</v>
      </c>
      <c r="E26" s="21">
        <f t="shared" si="10"/>
        <v>8.533333333333333E-2</v>
      </c>
      <c r="F26" s="21">
        <f t="shared" si="10"/>
        <v>6.4285714285714279E-2</v>
      </c>
      <c r="G26" s="21">
        <f t="shared" si="10"/>
        <v>0</v>
      </c>
      <c r="H26" s="21">
        <f t="shared" si="10"/>
        <v>0</v>
      </c>
      <c r="I26" s="21">
        <f t="shared" si="10"/>
        <v>7.522388059701493E-2</v>
      </c>
      <c r="K26" s="21"/>
      <c r="L26">
        <v>5</v>
      </c>
      <c r="M26" t="s">
        <v>17</v>
      </c>
      <c r="N26" s="7">
        <v>0</v>
      </c>
      <c r="O26" s="7">
        <f t="shared" si="0"/>
        <v>0</v>
      </c>
      <c r="P26" s="9">
        <f t="shared" si="9"/>
        <v>0</v>
      </c>
      <c r="Q26" s="7">
        <f t="shared" si="1"/>
        <v>0</v>
      </c>
    </row>
    <row r="27" spans="2:17" x14ac:dyDescent="0.2">
      <c r="B27" s="10" t="s">
        <v>19</v>
      </c>
      <c r="D27" s="21">
        <f t="shared" si="10"/>
        <v>0.18181818181818182</v>
      </c>
      <c r="E27" s="21">
        <f t="shared" si="10"/>
        <v>0.12970666666666666</v>
      </c>
      <c r="F27" s="21">
        <f t="shared" si="10"/>
        <v>0.14000000000000001</v>
      </c>
      <c r="G27" s="21">
        <f t="shared" si="10"/>
        <v>0</v>
      </c>
      <c r="H27" s="21">
        <f t="shared" si="10"/>
        <v>0</v>
      </c>
      <c r="I27" s="21">
        <f t="shared" si="10"/>
        <v>0.11799402985074627</v>
      </c>
      <c r="J27" s="21"/>
      <c r="K27" s="21"/>
      <c r="L27">
        <v>6</v>
      </c>
      <c r="M27" t="s">
        <v>6</v>
      </c>
      <c r="N27" s="7">
        <v>8900</v>
      </c>
      <c r="O27" s="7">
        <f t="shared" si="0"/>
        <v>35600</v>
      </c>
      <c r="P27" s="9">
        <v>0.25</v>
      </c>
      <c r="Q27" s="7">
        <f t="shared" si="1"/>
        <v>8900</v>
      </c>
    </row>
    <row r="28" spans="2:17" x14ac:dyDescent="0.2">
      <c r="B28" s="10" t="s">
        <v>20</v>
      </c>
      <c r="D28" s="21">
        <f t="shared" si="10"/>
        <v>0.21818181818181817</v>
      </c>
      <c r="E28" s="21">
        <f t="shared" si="10"/>
        <v>0.17510400000000001</v>
      </c>
      <c r="F28" s="21">
        <f t="shared" si="10"/>
        <v>0.21</v>
      </c>
      <c r="G28" s="21">
        <f t="shared" si="10"/>
        <v>8.2000000000000003E-2</v>
      </c>
      <c r="H28" s="21">
        <f t="shared" si="10"/>
        <v>0.1</v>
      </c>
      <c r="I28" s="21">
        <f t="shared" si="10"/>
        <v>0.17591880597014925</v>
      </c>
      <c r="J28" s="21"/>
      <c r="K28" s="21"/>
      <c r="L28">
        <v>6</v>
      </c>
      <c r="M28" t="s">
        <v>14</v>
      </c>
      <c r="N28" s="7">
        <v>4028</v>
      </c>
      <c r="O28" s="7">
        <f t="shared" si="0"/>
        <v>16112</v>
      </c>
      <c r="P28" s="9">
        <v>0.25</v>
      </c>
      <c r="Q28" s="7">
        <f t="shared" si="1"/>
        <v>4028</v>
      </c>
    </row>
    <row r="29" spans="2:17" x14ac:dyDescent="0.2">
      <c r="B29" s="10" t="s">
        <v>21</v>
      </c>
      <c r="D29" s="21">
        <f t="shared" si="10"/>
        <v>0.24000000000000005</v>
      </c>
      <c r="E29" s="21">
        <f t="shared" si="10"/>
        <v>0.21887999999999999</v>
      </c>
      <c r="F29" s="21">
        <f t="shared" si="10"/>
        <v>0.252</v>
      </c>
      <c r="G29" s="21">
        <f t="shared" si="10"/>
        <v>0.16400000000000001</v>
      </c>
      <c r="H29" s="21">
        <f t="shared" si="10"/>
        <v>0.18</v>
      </c>
      <c r="I29" s="21">
        <f t="shared" si="10"/>
        <v>0.22106268656716418</v>
      </c>
      <c r="J29" s="21"/>
      <c r="K29" s="21"/>
      <c r="L29">
        <v>6</v>
      </c>
      <c r="M29" t="s">
        <v>15</v>
      </c>
      <c r="N29" s="7">
        <v>4400</v>
      </c>
      <c r="O29" s="7">
        <f t="shared" si="0"/>
        <v>17600</v>
      </c>
      <c r="P29" s="9">
        <v>0.25</v>
      </c>
      <c r="Q29" s="7">
        <f t="shared" si="1"/>
        <v>4400</v>
      </c>
    </row>
    <row r="30" spans="2:17" x14ac:dyDescent="0.2">
      <c r="D30" s="9"/>
      <c r="E30" s="9"/>
      <c r="F30" s="9"/>
      <c r="G30" s="9"/>
      <c r="H30" s="9"/>
      <c r="J30" s="21"/>
      <c r="K30" s="21"/>
      <c r="L30">
        <v>6</v>
      </c>
      <c r="M30" t="s">
        <v>16</v>
      </c>
      <c r="N30" s="7">
        <v>0</v>
      </c>
      <c r="O30" s="7">
        <f t="shared" si="0"/>
        <v>0</v>
      </c>
      <c r="P30" s="9">
        <f t="shared" ref="P30:P31" si="11">+O30*4</f>
        <v>0</v>
      </c>
      <c r="Q30" s="7">
        <f t="shared" si="1"/>
        <v>0</v>
      </c>
    </row>
    <row r="31" spans="2:17" x14ac:dyDescent="0.2">
      <c r="B31" t="s">
        <v>182</v>
      </c>
      <c r="C31" t="s">
        <v>0</v>
      </c>
      <c r="D31" t="s">
        <v>6</v>
      </c>
      <c r="E31" t="s">
        <v>14</v>
      </c>
      <c r="F31" t="s">
        <v>15</v>
      </c>
      <c r="G31" t="s">
        <v>16</v>
      </c>
      <c r="H31" t="s">
        <v>17</v>
      </c>
      <c r="I31" t="s">
        <v>27</v>
      </c>
      <c r="J31" s="21"/>
      <c r="K31" s="21"/>
      <c r="L31">
        <v>6</v>
      </c>
      <c r="M31" t="s">
        <v>17</v>
      </c>
      <c r="N31" s="7">
        <v>0</v>
      </c>
      <c r="O31" s="7">
        <f t="shared" si="0"/>
        <v>0</v>
      </c>
      <c r="P31" s="9">
        <f t="shared" si="11"/>
        <v>0</v>
      </c>
      <c r="Q31" s="7">
        <f t="shared" si="1"/>
        <v>0</v>
      </c>
    </row>
    <row r="32" spans="2:17" x14ac:dyDescent="0.2">
      <c r="B32" s="10" t="s">
        <v>18</v>
      </c>
      <c r="C32">
        <v>1</v>
      </c>
      <c r="D32" s="18">
        <v>4100</v>
      </c>
      <c r="E32" s="18">
        <v>1800</v>
      </c>
      <c r="F32" s="18">
        <v>700</v>
      </c>
      <c r="G32" s="44"/>
      <c r="H32" s="44"/>
      <c r="I32" s="7">
        <f>+SUM(D32:H32)</f>
        <v>6600</v>
      </c>
      <c r="J32" s="21"/>
      <c r="K32" s="21"/>
      <c r="L32">
        <v>7</v>
      </c>
      <c r="M32" t="s">
        <v>6</v>
      </c>
      <c r="N32" s="7">
        <v>6959.9999999999991</v>
      </c>
      <c r="O32" s="7">
        <f t="shared" si="0"/>
        <v>27839.999999999996</v>
      </c>
      <c r="P32" s="47"/>
      <c r="Q32" s="7">
        <f t="shared" si="1"/>
        <v>0</v>
      </c>
    </row>
    <row r="33" spans="2:17" x14ac:dyDescent="0.2">
      <c r="B33" s="10" t="s">
        <v>18</v>
      </c>
      <c r="C33">
        <v>2</v>
      </c>
      <c r="D33" s="18">
        <v>3600</v>
      </c>
      <c r="E33" s="18">
        <v>1900</v>
      </c>
      <c r="F33" s="18">
        <v>1200</v>
      </c>
      <c r="G33" s="44"/>
      <c r="H33" s="44"/>
      <c r="I33" s="7">
        <f t="shared" ref="I33:I43" si="12">+SUM(D33:H33)</f>
        <v>6700</v>
      </c>
      <c r="J33" s="21"/>
      <c r="K33" s="21"/>
      <c r="L33">
        <v>7</v>
      </c>
      <c r="M33" t="s">
        <v>14</v>
      </c>
      <c r="N33" s="7">
        <v>3808.5120000000002</v>
      </c>
      <c r="O33" s="7">
        <f t="shared" si="0"/>
        <v>15234.048000000001</v>
      </c>
      <c r="P33" s="47"/>
      <c r="Q33" s="7">
        <f t="shared" si="1"/>
        <v>0</v>
      </c>
    </row>
    <row r="34" spans="2:17" x14ac:dyDescent="0.2">
      <c r="B34" s="10" t="s">
        <v>18</v>
      </c>
      <c r="C34">
        <v>3</v>
      </c>
      <c r="D34" s="18">
        <v>6600</v>
      </c>
      <c r="E34" s="18">
        <v>2700</v>
      </c>
      <c r="F34" s="18">
        <v>2600</v>
      </c>
      <c r="G34" s="44"/>
      <c r="H34" s="44"/>
      <c r="I34" s="7">
        <f t="shared" si="12"/>
        <v>11900</v>
      </c>
      <c r="J34" s="21"/>
      <c r="L34">
        <v>7</v>
      </c>
      <c r="M34" t="s">
        <v>15</v>
      </c>
      <c r="N34" s="7">
        <v>4263</v>
      </c>
      <c r="O34" s="7">
        <f t="shared" ref="O34:O61" si="13">+N34*4</f>
        <v>17052</v>
      </c>
      <c r="P34" s="47"/>
      <c r="Q34" s="7">
        <f t="shared" ref="Q34:Q61" si="14">+O34*P34</f>
        <v>0</v>
      </c>
    </row>
    <row r="35" spans="2:17" x14ac:dyDescent="0.2">
      <c r="B35" s="10" t="s">
        <v>19</v>
      </c>
      <c r="C35">
        <v>4</v>
      </c>
      <c r="D35" s="18">
        <v>6000</v>
      </c>
      <c r="E35" s="18">
        <v>2800</v>
      </c>
      <c r="F35" s="18">
        <v>2700</v>
      </c>
      <c r="I35" s="7">
        <f t="shared" si="12"/>
        <v>11500</v>
      </c>
      <c r="J35" s="21"/>
      <c r="L35">
        <v>7</v>
      </c>
      <c r="M35" t="s">
        <v>16</v>
      </c>
      <c r="N35" s="7">
        <v>1189</v>
      </c>
      <c r="O35" s="7">
        <f t="shared" si="13"/>
        <v>4756</v>
      </c>
      <c r="P35" s="47"/>
      <c r="Q35" s="7">
        <f t="shared" si="14"/>
        <v>0</v>
      </c>
    </row>
    <row r="36" spans="2:17" x14ac:dyDescent="0.2">
      <c r="B36" s="10" t="s">
        <v>19</v>
      </c>
      <c r="C36">
        <v>5</v>
      </c>
      <c r="D36" s="18">
        <v>5100</v>
      </c>
      <c r="E36" s="18">
        <v>2900</v>
      </c>
      <c r="F36" s="18">
        <v>2700</v>
      </c>
      <c r="I36" s="7">
        <f t="shared" si="12"/>
        <v>10700</v>
      </c>
      <c r="J36" s="21"/>
      <c r="L36">
        <v>7</v>
      </c>
      <c r="M36" t="s">
        <v>17</v>
      </c>
      <c r="N36" s="7">
        <v>869.99999999999989</v>
      </c>
      <c r="O36" s="7">
        <f t="shared" si="13"/>
        <v>3479.9999999999995</v>
      </c>
      <c r="P36" s="47"/>
      <c r="Q36" s="7">
        <f t="shared" si="14"/>
        <v>0</v>
      </c>
    </row>
    <row r="37" spans="2:17" x14ac:dyDescent="0.2">
      <c r="B37" s="10" t="s">
        <v>19</v>
      </c>
      <c r="C37">
        <v>6</v>
      </c>
      <c r="D37" s="18">
        <v>8900</v>
      </c>
      <c r="E37" s="18">
        <v>4028</v>
      </c>
      <c r="F37" s="18">
        <v>4400</v>
      </c>
      <c r="I37" s="7">
        <f t="shared" si="12"/>
        <v>17328</v>
      </c>
      <c r="J37" s="21"/>
      <c r="L37">
        <v>8</v>
      </c>
      <c r="M37" t="s">
        <v>6</v>
      </c>
      <c r="N37" s="7">
        <v>6720.0000000000009</v>
      </c>
      <c r="O37" s="7">
        <f t="shared" si="13"/>
        <v>26880.000000000004</v>
      </c>
      <c r="P37" s="47"/>
      <c r="Q37" s="7">
        <f t="shared" si="14"/>
        <v>0</v>
      </c>
    </row>
    <row r="38" spans="2:17" x14ac:dyDescent="0.2">
      <c r="B38" s="10" t="s">
        <v>20</v>
      </c>
      <c r="C38">
        <v>7</v>
      </c>
      <c r="D38" s="51">
        <f t="shared" ref="D38:H40" si="15">+D$17*$C4</f>
        <v>6959.9999999999991</v>
      </c>
      <c r="E38" s="51">
        <f t="shared" si="15"/>
        <v>3808.5120000000002</v>
      </c>
      <c r="F38" s="51">
        <f t="shared" si="15"/>
        <v>4263</v>
      </c>
      <c r="G38" s="51">
        <f t="shared" si="15"/>
        <v>1189</v>
      </c>
      <c r="H38" s="51">
        <f t="shared" si="15"/>
        <v>869.99999999999989</v>
      </c>
      <c r="I38" s="7">
        <f t="shared" si="12"/>
        <v>17090.511999999999</v>
      </c>
      <c r="J38" s="21"/>
      <c r="L38">
        <v>8</v>
      </c>
      <c r="M38" t="s">
        <v>14</v>
      </c>
      <c r="N38" s="7">
        <v>3677.1840000000007</v>
      </c>
      <c r="O38" s="7">
        <f t="shared" si="13"/>
        <v>14708.736000000003</v>
      </c>
      <c r="P38" s="47"/>
      <c r="Q38" s="7">
        <f t="shared" si="14"/>
        <v>0</v>
      </c>
    </row>
    <row r="39" spans="2:17" x14ac:dyDescent="0.2">
      <c r="B39" s="10" t="s">
        <v>20</v>
      </c>
      <c r="C39">
        <v>8</v>
      </c>
      <c r="D39" s="51">
        <f t="shared" si="15"/>
        <v>6720.0000000000009</v>
      </c>
      <c r="E39" s="51">
        <f t="shared" si="15"/>
        <v>3677.1840000000007</v>
      </c>
      <c r="F39" s="51">
        <f t="shared" si="15"/>
        <v>4116</v>
      </c>
      <c r="G39" s="51">
        <f t="shared" si="15"/>
        <v>1148</v>
      </c>
      <c r="H39" s="51">
        <f t="shared" si="15"/>
        <v>840.00000000000011</v>
      </c>
      <c r="I39" s="7">
        <f t="shared" si="12"/>
        <v>16501.184000000001</v>
      </c>
      <c r="L39">
        <v>8</v>
      </c>
      <c r="M39" t="s">
        <v>15</v>
      </c>
      <c r="N39" s="7">
        <v>4116</v>
      </c>
      <c r="O39" s="7">
        <f t="shared" si="13"/>
        <v>16464</v>
      </c>
      <c r="P39" s="47"/>
      <c r="Q39" s="7">
        <f t="shared" si="14"/>
        <v>0</v>
      </c>
    </row>
    <row r="40" spans="2:17" x14ac:dyDescent="0.2">
      <c r="B40" s="10" t="s">
        <v>20</v>
      </c>
      <c r="C40">
        <v>9</v>
      </c>
      <c r="D40" s="51">
        <f t="shared" si="15"/>
        <v>10320</v>
      </c>
      <c r="E40" s="51">
        <f t="shared" si="15"/>
        <v>5647.1040000000003</v>
      </c>
      <c r="F40" s="51">
        <f t="shared" si="15"/>
        <v>6321</v>
      </c>
      <c r="G40" s="51">
        <f t="shared" si="15"/>
        <v>1763</v>
      </c>
      <c r="H40" s="51">
        <f t="shared" si="15"/>
        <v>1290</v>
      </c>
      <c r="I40" s="7">
        <f t="shared" si="12"/>
        <v>25341.103999999999</v>
      </c>
      <c r="L40">
        <v>8</v>
      </c>
      <c r="M40" t="s">
        <v>16</v>
      </c>
      <c r="N40" s="7">
        <v>1148</v>
      </c>
      <c r="O40" s="7">
        <f t="shared" si="13"/>
        <v>4592</v>
      </c>
      <c r="P40" s="47"/>
      <c r="Q40" s="7">
        <f t="shared" si="14"/>
        <v>0</v>
      </c>
    </row>
    <row r="41" spans="2:17" x14ac:dyDescent="0.2">
      <c r="B41" s="10" t="s">
        <v>21</v>
      </c>
      <c r="C41">
        <v>10</v>
      </c>
      <c r="D41" s="51">
        <f t="shared" ref="D41:H43" si="16">+D$18*$C4</f>
        <v>7656.0000000000009</v>
      </c>
      <c r="E41" s="51">
        <f t="shared" si="16"/>
        <v>4760.6399999999994</v>
      </c>
      <c r="F41" s="51">
        <f t="shared" si="16"/>
        <v>5115.5999999999995</v>
      </c>
      <c r="G41" s="51">
        <f t="shared" si="16"/>
        <v>2378</v>
      </c>
      <c r="H41" s="51">
        <f t="shared" si="16"/>
        <v>1566</v>
      </c>
      <c r="I41" s="7">
        <f t="shared" si="12"/>
        <v>21476.239999999998</v>
      </c>
      <c r="L41">
        <v>8</v>
      </c>
      <c r="M41" t="s">
        <v>17</v>
      </c>
      <c r="N41" s="7">
        <v>840.00000000000011</v>
      </c>
      <c r="O41" s="7">
        <f t="shared" si="13"/>
        <v>3360.0000000000005</v>
      </c>
      <c r="P41" s="47"/>
      <c r="Q41" s="7">
        <f t="shared" si="14"/>
        <v>0</v>
      </c>
    </row>
    <row r="42" spans="2:17" x14ac:dyDescent="0.2">
      <c r="B42" s="10" t="s">
        <v>21</v>
      </c>
      <c r="C42">
        <v>11</v>
      </c>
      <c r="D42" s="51">
        <f t="shared" si="16"/>
        <v>7392.0000000000018</v>
      </c>
      <c r="E42" s="51">
        <f t="shared" si="16"/>
        <v>4596.4800000000005</v>
      </c>
      <c r="F42" s="51">
        <f t="shared" si="16"/>
        <v>4939.2000000000007</v>
      </c>
      <c r="G42" s="51">
        <f t="shared" si="16"/>
        <v>2296</v>
      </c>
      <c r="H42" s="51">
        <f t="shared" si="16"/>
        <v>1512.0000000000002</v>
      </c>
      <c r="I42" s="7">
        <f t="shared" si="12"/>
        <v>20735.680000000004</v>
      </c>
      <c r="L42">
        <v>9</v>
      </c>
      <c r="M42" t="s">
        <v>6</v>
      </c>
      <c r="N42" s="7">
        <v>10320</v>
      </c>
      <c r="O42" s="7">
        <f t="shared" si="13"/>
        <v>41280</v>
      </c>
      <c r="P42" s="47"/>
      <c r="Q42" s="7">
        <f t="shared" si="14"/>
        <v>0</v>
      </c>
    </row>
    <row r="43" spans="2:17" x14ac:dyDescent="0.2">
      <c r="B43" s="10" t="s">
        <v>21</v>
      </c>
      <c r="C43">
        <v>12</v>
      </c>
      <c r="D43" s="51">
        <f t="shared" si="16"/>
        <v>11352.000000000002</v>
      </c>
      <c r="E43" s="51">
        <f t="shared" si="16"/>
        <v>7058.88</v>
      </c>
      <c r="F43" s="51">
        <f t="shared" si="16"/>
        <v>7585.2</v>
      </c>
      <c r="G43" s="51">
        <f t="shared" si="16"/>
        <v>3526</v>
      </c>
      <c r="H43" s="51">
        <f t="shared" si="16"/>
        <v>2322</v>
      </c>
      <c r="I43" s="7">
        <f t="shared" si="12"/>
        <v>31844.080000000002</v>
      </c>
      <c r="L43">
        <v>9</v>
      </c>
      <c r="M43" t="s">
        <v>14</v>
      </c>
      <c r="N43" s="7">
        <v>5647.1040000000003</v>
      </c>
      <c r="O43" s="7">
        <f t="shared" si="13"/>
        <v>22588.416000000001</v>
      </c>
      <c r="P43" s="47"/>
      <c r="Q43" s="7">
        <f t="shared" si="14"/>
        <v>0</v>
      </c>
    </row>
    <row r="44" spans="2:17" x14ac:dyDescent="0.2">
      <c r="L44">
        <v>9</v>
      </c>
      <c r="M44" t="s">
        <v>15</v>
      </c>
      <c r="N44" s="7">
        <v>6321</v>
      </c>
      <c r="O44" s="7">
        <f t="shared" si="13"/>
        <v>25284</v>
      </c>
      <c r="P44" s="47"/>
      <c r="Q44" s="7">
        <f t="shared" si="14"/>
        <v>0</v>
      </c>
    </row>
    <row r="45" spans="2:17" x14ac:dyDescent="0.2">
      <c r="L45">
        <v>9</v>
      </c>
      <c r="M45" t="s">
        <v>16</v>
      </c>
      <c r="N45" s="7">
        <v>1763</v>
      </c>
      <c r="O45" s="7">
        <f t="shared" si="13"/>
        <v>7052</v>
      </c>
      <c r="P45" s="47"/>
      <c r="Q45" s="7">
        <f t="shared" si="14"/>
        <v>0</v>
      </c>
    </row>
    <row r="46" spans="2:17" x14ac:dyDescent="0.2">
      <c r="L46">
        <v>9</v>
      </c>
      <c r="M46" t="s">
        <v>17</v>
      </c>
      <c r="N46" s="7">
        <v>1290</v>
      </c>
      <c r="O46" s="7">
        <f t="shared" si="13"/>
        <v>5160</v>
      </c>
      <c r="P46" s="47"/>
      <c r="Q46" s="7">
        <f t="shared" si="14"/>
        <v>0</v>
      </c>
    </row>
    <row r="47" spans="2:17" x14ac:dyDescent="0.2">
      <c r="L47">
        <v>10</v>
      </c>
      <c r="M47" t="s">
        <v>6</v>
      </c>
      <c r="N47" s="7">
        <v>7656.0000000000009</v>
      </c>
      <c r="O47" s="7">
        <f t="shared" si="13"/>
        <v>30624.000000000004</v>
      </c>
      <c r="P47" s="47"/>
      <c r="Q47" s="7">
        <f t="shared" si="14"/>
        <v>0</v>
      </c>
    </row>
    <row r="48" spans="2:17" x14ac:dyDescent="0.2">
      <c r="L48">
        <v>10</v>
      </c>
      <c r="M48" t="s">
        <v>14</v>
      </c>
      <c r="N48" s="7">
        <v>4760.6399999999994</v>
      </c>
      <c r="O48" s="7">
        <f t="shared" si="13"/>
        <v>19042.559999999998</v>
      </c>
      <c r="P48" s="47"/>
      <c r="Q48" s="7">
        <f t="shared" si="14"/>
        <v>0</v>
      </c>
    </row>
    <row r="49" spans="12:17" x14ac:dyDescent="0.2">
      <c r="L49">
        <v>10</v>
      </c>
      <c r="M49" t="s">
        <v>15</v>
      </c>
      <c r="N49" s="7">
        <v>5115.5999999999995</v>
      </c>
      <c r="O49" s="7">
        <f t="shared" si="13"/>
        <v>20462.399999999998</v>
      </c>
      <c r="P49" s="47"/>
      <c r="Q49" s="7">
        <f t="shared" si="14"/>
        <v>0</v>
      </c>
    </row>
    <row r="50" spans="12:17" x14ac:dyDescent="0.2">
      <c r="L50">
        <v>10</v>
      </c>
      <c r="M50" t="s">
        <v>16</v>
      </c>
      <c r="N50" s="7">
        <v>2378</v>
      </c>
      <c r="O50" s="7">
        <f t="shared" si="13"/>
        <v>9512</v>
      </c>
      <c r="P50" s="47"/>
      <c r="Q50" s="7">
        <f t="shared" si="14"/>
        <v>0</v>
      </c>
    </row>
    <row r="51" spans="12:17" x14ac:dyDescent="0.2">
      <c r="L51">
        <v>10</v>
      </c>
      <c r="M51" t="s">
        <v>17</v>
      </c>
      <c r="N51" s="7">
        <v>1566</v>
      </c>
      <c r="O51" s="7">
        <f t="shared" si="13"/>
        <v>6264</v>
      </c>
      <c r="P51" s="47"/>
      <c r="Q51" s="7">
        <f t="shared" si="14"/>
        <v>0</v>
      </c>
    </row>
    <row r="52" spans="12:17" x14ac:dyDescent="0.2">
      <c r="L52">
        <v>11</v>
      </c>
      <c r="M52" t="s">
        <v>6</v>
      </c>
      <c r="N52" s="7">
        <v>7392.0000000000018</v>
      </c>
      <c r="O52" s="7">
        <f t="shared" si="13"/>
        <v>29568.000000000007</v>
      </c>
      <c r="P52" s="47"/>
      <c r="Q52" s="7">
        <f t="shared" si="14"/>
        <v>0</v>
      </c>
    </row>
    <row r="53" spans="12:17" x14ac:dyDescent="0.2">
      <c r="L53">
        <v>11</v>
      </c>
      <c r="M53" t="s">
        <v>14</v>
      </c>
      <c r="N53" s="7">
        <v>4596.4800000000005</v>
      </c>
      <c r="O53" s="7">
        <f t="shared" si="13"/>
        <v>18385.920000000002</v>
      </c>
      <c r="P53" s="47"/>
      <c r="Q53" s="7">
        <f t="shared" si="14"/>
        <v>0</v>
      </c>
    </row>
    <row r="54" spans="12:17" x14ac:dyDescent="0.2">
      <c r="L54">
        <v>11</v>
      </c>
      <c r="M54" t="s">
        <v>15</v>
      </c>
      <c r="N54" s="7">
        <v>4939.2000000000007</v>
      </c>
      <c r="O54" s="7">
        <f t="shared" si="13"/>
        <v>19756.800000000003</v>
      </c>
      <c r="P54" s="47"/>
      <c r="Q54" s="7">
        <f t="shared" si="14"/>
        <v>0</v>
      </c>
    </row>
    <row r="55" spans="12:17" x14ac:dyDescent="0.2">
      <c r="L55">
        <v>11</v>
      </c>
      <c r="M55" t="s">
        <v>16</v>
      </c>
      <c r="N55" s="7">
        <v>2296</v>
      </c>
      <c r="O55" s="7">
        <f t="shared" si="13"/>
        <v>9184</v>
      </c>
      <c r="P55" s="47"/>
      <c r="Q55" s="7">
        <f t="shared" si="14"/>
        <v>0</v>
      </c>
    </row>
    <row r="56" spans="12:17" x14ac:dyDescent="0.2">
      <c r="L56">
        <v>11</v>
      </c>
      <c r="M56" t="s">
        <v>17</v>
      </c>
      <c r="N56" s="7">
        <v>1512.0000000000002</v>
      </c>
      <c r="O56" s="7">
        <f t="shared" si="13"/>
        <v>6048.0000000000009</v>
      </c>
      <c r="P56" s="47"/>
      <c r="Q56" s="7">
        <f t="shared" si="14"/>
        <v>0</v>
      </c>
    </row>
    <row r="57" spans="12:17" x14ac:dyDescent="0.2">
      <c r="L57">
        <v>12</v>
      </c>
      <c r="M57" t="s">
        <v>6</v>
      </c>
      <c r="N57" s="7">
        <v>11352.000000000002</v>
      </c>
      <c r="O57" s="7">
        <f t="shared" si="13"/>
        <v>45408.000000000007</v>
      </c>
      <c r="P57" s="47"/>
      <c r="Q57" s="7">
        <f t="shared" si="14"/>
        <v>0</v>
      </c>
    </row>
    <row r="58" spans="12:17" x14ac:dyDescent="0.2">
      <c r="L58">
        <v>12</v>
      </c>
      <c r="M58" t="s">
        <v>14</v>
      </c>
      <c r="N58" s="7">
        <v>7058.88</v>
      </c>
      <c r="O58" s="7">
        <f t="shared" si="13"/>
        <v>28235.52</v>
      </c>
      <c r="P58" s="47"/>
      <c r="Q58" s="7">
        <f t="shared" si="14"/>
        <v>0</v>
      </c>
    </row>
    <row r="59" spans="12:17" x14ac:dyDescent="0.2">
      <c r="L59">
        <v>12</v>
      </c>
      <c r="M59" t="s">
        <v>15</v>
      </c>
      <c r="N59" s="7">
        <v>7585.2</v>
      </c>
      <c r="O59" s="7">
        <f t="shared" si="13"/>
        <v>30340.799999999999</v>
      </c>
      <c r="P59" s="47"/>
      <c r="Q59" s="7">
        <f t="shared" si="14"/>
        <v>0</v>
      </c>
    </row>
    <row r="60" spans="12:17" x14ac:dyDescent="0.2">
      <c r="L60">
        <v>12</v>
      </c>
      <c r="M60" t="s">
        <v>16</v>
      </c>
      <c r="N60" s="7">
        <v>3526</v>
      </c>
      <c r="O60" s="7">
        <f t="shared" si="13"/>
        <v>14104</v>
      </c>
      <c r="P60" s="47"/>
      <c r="Q60" s="7">
        <f t="shared" si="14"/>
        <v>0</v>
      </c>
    </row>
    <row r="61" spans="12:17" x14ac:dyDescent="0.2">
      <c r="L61">
        <v>12</v>
      </c>
      <c r="M61" t="s">
        <v>17</v>
      </c>
      <c r="N61" s="7">
        <v>2322</v>
      </c>
      <c r="O61" s="7">
        <f t="shared" si="13"/>
        <v>9288</v>
      </c>
      <c r="P61" s="47"/>
      <c r="Q61" s="7">
        <f t="shared" si="14"/>
        <v>0</v>
      </c>
    </row>
  </sheetData>
  <autoFilter ref="L1:Q61" xr:uid="{47CB0266-3ECC-4EFA-B87F-96016C7A31F2}">
    <sortState xmlns:xlrd2="http://schemas.microsoft.com/office/spreadsheetml/2017/richdata2" ref="L2:Q61">
      <sortCondition ref="L1:L61"/>
    </sortState>
  </autoFilter>
  <mergeCells count="1">
    <mergeCell ref="B8:I8"/>
  </mergeCells>
  <phoneticPr fontId="3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57D2-D8C4-48E2-9C83-E91D5B68FC66}">
  <sheetPr>
    <tabColor theme="4" tint="0.79998168889431442"/>
  </sheetPr>
  <dimension ref="A1:O9"/>
  <sheetViews>
    <sheetView zoomScale="115" zoomScaleNormal="115" workbookViewId="0">
      <pane xSplit="3" ySplit="1" topLeftCell="D2" activePane="bottomRight" state="frozen"/>
      <selection activeCell="K1" sqref="K1"/>
      <selection pane="topRight" activeCell="K1" sqref="K1"/>
      <selection pane="bottomLeft" activeCell="K1" sqref="K1"/>
      <selection pane="bottomRight" activeCell="F26" sqref="F26"/>
    </sheetView>
  </sheetViews>
  <sheetFormatPr defaultColWidth="8.83203125" defaultRowHeight="12" x14ac:dyDescent="0.2"/>
  <cols>
    <col min="2" max="2" width="9.5" customWidth="1"/>
    <col min="4" max="4" width="11.1640625" customWidth="1"/>
    <col min="5" max="5" width="8.33203125" style="7" customWidth="1"/>
    <col min="6" max="6" width="8.83203125" style="7"/>
    <col min="7" max="7" width="10" style="7" customWidth="1"/>
    <col min="8" max="8" width="14.33203125" style="7" customWidth="1"/>
    <col min="9" max="9" width="13.5" style="7" customWidth="1"/>
    <col min="10" max="10" width="15.83203125" style="7" customWidth="1"/>
    <col min="11" max="11" width="15.5" style="7" customWidth="1"/>
    <col min="12" max="12" width="11" style="7" bestFit="1" customWidth="1"/>
    <col min="13" max="13" width="15.5" style="7" customWidth="1"/>
    <col min="14" max="14" width="18" style="7" customWidth="1"/>
    <col min="15" max="15" width="15.5" style="7" customWidth="1"/>
  </cols>
  <sheetData>
    <row r="1" spans="1:15" ht="15.4" customHeight="1" x14ac:dyDescent="0.2">
      <c r="A1" s="2" t="s">
        <v>0</v>
      </c>
      <c r="B1" s="2" t="s">
        <v>1</v>
      </c>
      <c r="C1" s="2" t="s">
        <v>2</v>
      </c>
      <c r="D1" s="2" t="s">
        <v>31</v>
      </c>
      <c r="E1" s="26" t="s">
        <v>3</v>
      </c>
      <c r="F1" s="25" t="s">
        <v>32</v>
      </c>
      <c r="G1" s="25" t="s">
        <v>33</v>
      </c>
      <c r="H1" s="25" t="s">
        <v>34</v>
      </c>
      <c r="I1" s="25" t="s">
        <v>35</v>
      </c>
      <c r="J1" s="25" t="s">
        <v>36</v>
      </c>
      <c r="K1" s="25" t="s">
        <v>37</v>
      </c>
      <c r="L1" s="27" t="s">
        <v>4</v>
      </c>
      <c r="M1" s="28" t="s">
        <v>38</v>
      </c>
      <c r="N1" s="28" t="s">
        <v>78</v>
      </c>
      <c r="O1" s="28"/>
    </row>
    <row r="2" spans="1:15" x14ac:dyDescent="0.2">
      <c r="A2" s="4">
        <v>6</v>
      </c>
      <c r="B2" s="4" t="s">
        <v>8</v>
      </c>
      <c r="C2" s="4" t="s">
        <v>6</v>
      </c>
      <c r="D2" s="4" t="s">
        <v>24</v>
      </c>
      <c r="E2" s="17">
        <v>68</v>
      </c>
      <c r="F2" s="18">
        <v>35</v>
      </c>
      <c r="G2" s="16">
        <f>3000*F2/COUNTIF($A:$A,A2)</f>
        <v>35000</v>
      </c>
      <c r="H2" s="17">
        <v>210</v>
      </c>
      <c r="I2" s="16">
        <f t="shared" ref="I2:I9" si="0">+H2*300</f>
        <v>63000</v>
      </c>
      <c r="J2" s="16">
        <f t="shared" ref="J2:J4" si="1">+G2+I2</f>
        <v>98000</v>
      </c>
      <c r="K2" s="17">
        <v>50</v>
      </c>
      <c r="L2" s="17">
        <v>17</v>
      </c>
      <c r="M2" s="19" t="s">
        <v>9</v>
      </c>
      <c r="N2" s="19"/>
      <c r="O2" s="19"/>
    </row>
    <row r="3" spans="1:15" x14ac:dyDescent="0.2">
      <c r="A3" s="4">
        <v>6</v>
      </c>
      <c r="B3" s="4" t="s">
        <v>8</v>
      </c>
      <c r="C3" t="s">
        <v>14</v>
      </c>
      <c r="D3" s="4" t="s">
        <v>24</v>
      </c>
      <c r="E3" s="18">
        <v>68</v>
      </c>
      <c r="F3" s="18">
        <v>35</v>
      </c>
      <c r="G3" s="16">
        <f t="shared" ref="G3:G9" si="2">3000*F3/COUNTIF($A:$A,A3)</f>
        <v>35000</v>
      </c>
      <c r="H3" s="18">
        <v>102</v>
      </c>
      <c r="I3" s="16">
        <f t="shared" si="0"/>
        <v>30600</v>
      </c>
      <c r="J3" s="16">
        <f t="shared" si="1"/>
        <v>65600</v>
      </c>
      <c r="K3" s="17">
        <v>50</v>
      </c>
      <c r="L3" s="18">
        <v>13</v>
      </c>
      <c r="M3" s="18" t="s">
        <v>9</v>
      </c>
      <c r="N3" s="18"/>
      <c r="O3" s="18"/>
    </row>
    <row r="4" spans="1:15" x14ac:dyDescent="0.2">
      <c r="A4" s="4">
        <v>6</v>
      </c>
      <c r="B4" s="4" t="s">
        <v>8</v>
      </c>
      <c r="C4" t="s">
        <v>15</v>
      </c>
      <c r="D4" s="4" t="s">
        <v>24</v>
      </c>
      <c r="E4" s="18">
        <v>91</v>
      </c>
      <c r="F4" s="18">
        <v>35</v>
      </c>
      <c r="G4" s="16">
        <f t="shared" si="2"/>
        <v>35000</v>
      </c>
      <c r="H4" s="18">
        <v>82</v>
      </c>
      <c r="I4" s="16">
        <f t="shared" si="0"/>
        <v>24600</v>
      </c>
      <c r="J4" s="16">
        <f t="shared" si="1"/>
        <v>59600</v>
      </c>
      <c r="K4" s="17">
        <v>50</v>
      </c>
      <c r="L4" s="18">
        <v>14</v>
      </c>
      <c r="M4" s="18" t="s">
        <v>9</v>
      </c>
      <c r="N4" s="18"/>
      <c r="O4" s="18"/>
    </row>
    <row r="5" spans="1:15" ht="24" x14ac:dyDescent="0.2">
      <c r="A5" s="4">
        <v>7</v>
      </c>
      <c r="B5" s="4" t="s">
        <v>8</v>
      </c>
      <c r="C5" s="4" t="s">
        <v>6</v>
      </c>
      <c r="D5" s="4" t="s">
        <v>5</v>
      </c>
      <c r="E5" s="17">
        <v>69</v>
      </c>
      <c r="F5" s="18">
        <v>35</v>
      </c>
      <c r="G5" s="16">
        <f t="shared" si="2"/>
        <v>21000</v>
      </c>
      <c r="H5" s="17">
        <v>210</v>
      </c>
      <c r="I5" s="16">
        <f t="shared" si="0"/>
        <v>63000</v>
      </c>
      <c r="J5" s="16">
        <f t="shared" ref="J5:J9" si="3">+G5+I5</f>
        <v>84000</v>
      </c>
      <c r="K5" s="17">
        <v>50</v>
      </c>
      <c r="L5" s="17">
        <v>17</v>
      </c>
      <c r="M5" s="19" t="s">
        <v>9</v>
      </c>
      <c r="N5" s="19"/>
      <c r="O5" s="19"/>
    </row>
    <row r="6" spans="1:15" ht="24" x14ac:dyDescent="0.2">
      <c r="A6" s="4">
        <v>7</v>
      </c>
      <c r="B6" s="4" t="s">
        <v>8</v>
      </c>
      <c r="C6" t="s">
        <v>14</v>
      </c>
      <c r="D6" s="4" t="s">
        <v>5</v>
      </c>
      <c r="E6" s="18">
        <v>69</v>
      </c>
      <c r="F6" s="18">
        <v>35</v>
      </c>
      <c r="G6" s="16">
        <f t="shared" si="2"/>
        <v>21000</v>
      </c>
      <c r="H6" s="18">
        <v>102</v>
      </c>
      <c r="I6" s="16">
        <f t="shared" si="0"/>
        <v>30600</v>
      </c>
      <c r="J6" s="16">
        <f t="shared" si="3"/>
        <v>51600</v>
      </c>
      <c r="K6" s="17">
        <v>50</v>
      </c>
      <c r="L6" s="18">
        <v>13</v>
      </c>
      <c r="M6" s="18" t="s">
        <v>9</v>
      </c>
      <c r="N6" s="18"/>
      <c r="O6" s="18"/>
    </row>
    <row r="7" spans="1:15" ht="24" x14ac:dyDescent="0.2">
      <c r="A7" s="4">
        <v>7</v>
      </c>
      <c r="B7" s="4" t="s">
        <v>8</v>
      </c>
      <c r="C7" t="s">
        <v>15</v>
      </c>
      <c r="D7" s="4" t="s">
        <v>5</v>
      </c>
      <c r="E7" s="18">
        <v>92</v>
      </c>
      <c r="F7" s="18">
        <v>35</v>
      </c>
      <c r="G7" s="16">
        <f t="shared" si="2"/>
        <v>21000</v>
      </c>
      <c r="H7" s="18">
        <v>82</v>
      </c>
      <c r="I7" s="16">
        <f t="shared" si="0"/>
        <v>24600</v>
      </c>
      <c r="J7" s="16">
        <f t="shared" si="3"/>
        <v>45600</v>
      </c>
      <c r="K7" s="17">
        <v>50</v>
      </c>
      <c r="L7" s="18">
        <v>14</v>
      </c>
      <c r="M7" s="18" t="s">
        <v>9</v>
      </c>
      <c r="N7" s="18"/>
      <c r="O7" s="18"/>
    </row>
    <row r="8" spans="1:15" ht="24" x14ac:dyDescent="0.2">
      <c r="A8" s="4">
        <v>7</v>
      </c>
      <c r="B8" s="4" t="s">
        <v>8</v>
      </c>
      <c r="C8" t="s">
        <v>16</v>
      </c>
      <c r="D8" s="4" t="s">
        <v>5</v>
      </c>
      <c r="E8" s="17">
        <v>65</v>
      </c>
      <c r="F8" s="18">
        <v>35</v>
      </c>
      <c r="G8" s="16">
        <f t="shared" si="2"/>
        <v>21000</v>
      </c>
      <c r="H8" s="18">
        <v>40</v>
      </c>
      <c r="I8" s="16">
        <f t="shared" si="0"/>
        <v>12000</v>
      </c>
      <c r="J8" s="16">
        <f t="shared" si="3"/>
        <v>33000</v>
      </c>
      <c r="K8" s="17">
        <v>50</v>
      </c>
      <c r="L8" s="17">
        <v>7</v>
      </c>
      <c r="M8" s="19" t="s">
        <v>7</v>
      </c>
      <c r="N8" s="19"/>
      <c r="O8" s="19"/>
    </row>
    <row r="9" spans="1:15" ht="24" x14ac:dyDescent="0.2">
      <c r="A9" s="4">
        <v>7</v>
      </c>
      <c r="B9" s="4" t="s">
        <v>8</v>
      </c>
      <c r="C9" t="s">
        <v>17</v>
      </c>
      <c r="D9" s="4" t="s">
        <v>5</v>
      </c>
      <c r="E9" s="17">
        <v>65</v>
      </c>
      <c r="F9" s="18">
        <v>35</v>
      </c>
      <c r="G9" s="16">
        <f t="shared" si="2"/>
        <v>21000</v>
      </c>
      <c r="H9" s="17">
        <v>40</v>
      </c>
      <c r="I9" s="16">
        <f t="shared" si="0"/>
        <v>12000</v>
      </c>
      <c r="J9" s="16">
        <f t="shared" si="3"/>
        <v>33000</v>
      </c>
      <c r="K9" s="17">
        <v>50</v>
      </c>
      <c r="L9" s="17">
        <v>7</v>
      </c>
      <c r="M9" s="19" t="s">
        <v>7</v>
      </c>
      <c r="N9" s="19"/>
      <c r="O9" s="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CEDF-EB5F-41D4-AA72-A5A69376ADD4}">
  <sheetPr>
    <tabColor theme="4" tint="0.79998168889431442"/>
  </sheetPr>
  <dimension ref="A1:R15"/>
  <sheetViews>
    <sheetView zoomScaleNormal="100" workbookViewId="0">
      <selection activeCell="N1" sqref="N1:R15"/>
    </sheetView>
  </sheetViews>
  <sheetFormatPr defaultRowHeight="12" x14ac:dyDescent="0.2"/>
  <cols>
    <col min="1" max="1" width="6.1640625" customWidth="1"/>
    <col min="2" max="2" width="62.6640625" customWidth="1"/>
    <col min="3" max="3" width="13.6640625" customWidth="1"/>
    <col min="4" max="4" width="15.33203125" customWidth="1"/>
    <col min="5" max="5" width="27" customWidth="1"/>
    <col min="6" max="6" width="21.1640625" customWidth="1"/>
    <col min="7" max="7" width="7.6640625" customWidth="1"/>
    <col min="8" max="8" width="7" customWidth="1"/>
    <col min="9" max="9" width="51.5" customWidth="1"/>
    <col min="10" max="10" width="10.6640625" customWidth="1"/>
  </cols>
  <sheetData>
    <row r="1" spans="1:18" ht="12.75" x14ac:dyDescent="0.2">
      <c r="A1" s="2" t="s">
        <v>42</v>
      </c>
      <c r="B1" s="2" t="s">
        <v>49</v>
      </c>
      <c r="C1" s="2" t="s">
        <v>106</v>
      </c>
      <c r="D1" s="3" t="s">
        <v>105</v>
      </c>
      <c r="E1" s="2" t="s">
        <v>43</v>
      </c>
      <c r="F1" s="2" t="s">
        <v>65</v>
      </c>
      <c r="G1" s="2" t="s">
        <v>11</v>
      </c>
      <c r="H1" s="2" t="s">
        <v>12</v>
      </c>
      <c r="I1" s="2" t="s">
        <v>108</v>
      </c>
      <c r="J1" s="3" t="s">
        <v>64</v>
      </c>
      <c r="N1" s="52" t="s">
        <v>256</v>
      </c>
      <c r="O1" s="52" t="s">
        <v>257</v>
      </c>
      <c r="P1" s="52" t="s">
        <v>258</v>
      </c>
      <c r="Q1" s="52" t="s">
        <v>259</v>
      </c>
      <c r="R1" s="52" t="s">
        <v>260</v>
      </c>
    </row>
    <row r="2" spans="1:18" ht="24" x14ac:dyDescent="0.2">
      <c r="A2" s="4">
        <v>1</v>
      </c>
      <c r="B2" s="4" t="s">
        <v>50</v>
      </c>
      <c r="C2" s="16">
        <v>15000</v>
      </c>
      <c r="D2" s="6">
        <v>0.15</v>
      </c>
      <c r="E2" s="4" t="s">
        <v>109</v>
      </c>
      <c r="F2" s="4" t="s">
        <v>47</v>
      </c>
      <c r="G2" s="4">
        <v>5</v>
      </c>
      <c r="H2" s="4">
        <v>3</v>
      </c>
      <c r="I2" s="4" t="s">
        <v>110</v>
      </c>
      <c r="J2" s="30">
        <v>7</v>
      </c>
      <c r="L2" s="29" t="s">
        <v>68</v>
      </c>
      <c r="N2" s="12" t="s">
        <v>261</v>
      </c>
      <c r="O2" s="12" t="s">
        <v>262</v>
      </c>
      <c r="P2" s="12" t="s">
        <v>263</v>
      </c>
      <c r="Q2" s="12" t="s">
        <v>262</v>
      </c>
      <c r="R2" s="12" t="s">
        <v>263</v>
      </c>
    </row>
    <row r="3" spans="1:18" x14ac:dyDescent="0.2">
      <c r="A3" s="4">
        <v>2</v>
      </c>
      <c r="B3" s="4" t="s">
        <v>51</v>
      </c>
      <c r="C3" s="16">
        <v>30000</v>
      </c>
      <c r="D3" s="6">
        <v>0.15</v>
      </c>
      <c r="E3" s="4" t="s">
        <v>44</v>
      </c>
      <c r="F3" s="4" t="s">
        <v>66</v>
      </c>
      <c r="G3" s="4">
        <v>6</v>
      </c>
      <c r="H3" s="4">
        <v>2</v>
      </c>
      <c r="I3" s="4" t="s">
        <v>111</v>
      </c>
      <c r="J3" s="4">
        <v>0</v>
      </c>
      <c r="L3" s="29" t="s">
        <v>69</v>
      </c>
      <c r="N3" s="12" t="s">
        <v>264</v>
      </c>
      <c r="O3" s="12" t="s">
        <v>262</v>
      </c>
      <c r="P3" s="12" t="s">
        <v>263</v>
      </c>
      <c r="Q3" s="12" t="s">
        <v>262</v>
      </c>
      <c r="R3" s="12" t="s">
        <v>262</v>
      </c>
    </row>
    <row r="4" spans="1:18" x14ac:dyDescent="0.2">
      <c r="A4" s="4">
        <v>3</v>
      </c>
      <c r="B4" s="4" t="s">
        <v>52</v>
      </c>
      <c r="C4" s="16">
        <v>30000</v>
      </c>
      <c r="D4" s="6">
        <v>0.15</v>
      </c>
      <c r="E4" s="4" t="s">
        <v>112</v>
      </c>
      <c r="F4" s="4" t="s">
        <v>48</v>
      </c>
      <c r="G4" s="4">
        <v>4</v>
      </c>
      <c r="H4" s="4">
        <v>6</v>
      </c>
      <c r="I4" s="4" t="s">
        <v>113</v>
      </c>
      <c r="J4" s="4">
        <v>0</v>
      </c>
      <c r="N4" s="12" t="s">
        <v>265</v>
      </c>
      <c r="O4" s="12" t="s">
        <v>263</v>
      </c>
      <c r="P4" s="12" t="s">
        <v>263</v>
      </c>
      <c r="Q4" s="12" t="s">
        <v>262</v>
      </c>
      <c r="R4" s="12" t="s">
        <v>263</v>
      </c>
    </row>
    <row r="5" spans="1:18" x14ac:dyDescent="0.2">
      <c r="A5" s="4">
        <v>4</v>
      </c>
      <c r="B5" s="4" t="s">
        <v>53</v>
      </c>
      <c r="C5" s="16">
        <v>30000</v>
      </c>
      <c r="D5" s="6">
        <v>0.3</v>
      </c>
      <c r="E5" s="4" t="s">
        <v>114</v>
      </c>
      <c r="F5" s="4" t="s">
        <v>46</v>
      </c>
      <c r="G5" s="4">
        <v>5</v>
      </c>
      <c r="H5" s="4">
        <v>4</v>
      </c>
      <c r="I5" s="4" t="s">
        <v>115</v>
      </c>
      <c r="J5" s="4">
        <v>0</v>
      </c>
      <c r="L5" s="29" t="s">
        <v>76</v>
      </c>
      <c r="N5" s="12" t="s">
        <v>266</v>
      </c>
      <c r="O5" s="12" t="s">
        <v>263</v>
      </c>
      <c r="P5" s="12" t="s">
        <v>262</v>
      </c>
      <c r="Q5" s="12" t="s">
        <v>262</v>
      </c>
      <c r="R5" s="12" t="s">
        <v>263</v>
      </c>
    </row>
    <row r="6" spans="1:18" x14ac:dyDescent="0.2">
      <c r="A6" s="4">
        <v>5</v>
      </c>
      <c r="B6" s="4" t="s">
        <v>54</v>
      </c>
      <c r="C6" s="16">
        <v>30000</v>
      </c>
      <c r="D6" s="6">
        <v>0.3</v>
      </c>
      <c r="E6" s="4" t="s">
        <v>116</v>
      </c>
      <c r="F6" s="4" t="s">
        <v>47</v>
      </c>
      <c r="G6" s="4">
        <v>4</v>
      </c>
      <c r="H6" s="4">
        <v>6</v>
      </c>
      <c r="I6" s="4" t="s">
        <v>117</v>
      </c>
      <c r="J6" s="4">
        <v>0</v>
      </c>
      <c r="L6" s="29" t="s">
        <v>77</v>
      </c>
      <c r="N6" s="12" t="s">
        <v>267</v>
      </c>
      <c r="O6" s="12" t="s">
        <v>262</v>
      </c>
      <c r="P6" s="12" t="s">
        <v>263</v>
      </c>
      <c r="Q6" s="12" t="s">
        <v>262</v>
      </c>
      <c r="R6" s="12" t="s">
        <v>262</v>
      </c>
    </row>
    <row r="7" spans="1:18" ht="24" x14ac:dyDescent="0.2">
      <c r="A7" s="4">
        <v>6</v>
      </c>
      <c r="B7" s="4" t="s">
        <v>55</v>
      </c>
      <c r="C7" s="16">
        <v>45000</v>
      </c>
      <c r="D7" s="6">
        <v>0.3</v>
      </c>
      <c r="E7" s="4" t="s">
        <v>118</v>
      </c>
      <c r="F7" s="4" t="s">
        <v>46</v>
      </c>
      <c r="G7" s="4">
        <v>6</v>
      </c>
      <c r="H7" s="4">
        <v>3</v>
      </c>
      <c r="I7" s="4" t="s">
        <v>119</v>
      </c>
      <c r="J7" s="4">
        <v>0</v>
      </c>
      <c r="N7" s="12" t="s">
        <v>268</v>
      </c>
      <c r="O7" s="12" t="s">
        <v>262</v>
      </c>
      <c r="P7" s="12" t="s">
        <v>263</v>
      </c>
      <c r="Q7" s="12" t="s">
        <v>262</v>
      </c>
      <c r="R7" s="12" t="s">
        <v>262</v>
      </c>
    </row>
    <row r="8" spans="1:18" x14ac:dyDescent="0.2">
      <c r="A8" s="4">
        <v>7</v>
      </c>
      <c r="B8" s="4" t="s">
        <v>56</v>
      </c>
      <c r="C8" s="16">
        <v>45000</v>
      </c>
      <c r="D8" s="6">
        <v>0.45</v>
      </c>
      <c r="E8" s="4" t="s">
        <v>120</v>
      </c>
      <c r="F8" s="4" t="s">
        <v>47</v>
      </c>
      <c r="G8" s="4">
        <v>6</v>
      </c>
      <c r="H8" s="4">
        <v>5</v>
      </c>
      <c r="I8" s="4" t="s">
        <v>121</v>
      </c>
      <c r="J8" s="4">
        <v>0</v>
      </c>
      <c r="N8" s="12" t="s">
        <v>269</v>
      </c>
      <c r="O8" s="12" t="s">
        <v>263</v>
      </c>
      <c r="P8" s="12" t="s">
        <v>263</v>
      </c>
      <c r="Q8" s="12" t="s">
        <v>262</v>
      </c>
      <c r="R8" s="12" t="s">
        <v>262</v>
      </c>
    </row>
    <row r="9" spans="1:18" ht="24" x14ac:dyDescent="0.2">
      <c r="A9" s="4">
        <v>8</v>
      </c>
      <c r="B9" s="4" t="s">
        <v>57</v>
      </c>
      <c r="C9" s="16">
        <v>45000</v>
      </c>
      <c r="D9" s="6">
        <v>0.45</v>
      </c>
      <c r="E9" s="4" t="s">
        <v>122</v>
      </c>
      <c r="F9" s="4" t="s">
        <v>46</v>
      </c>
      <c r="G9" s="4">
        <v>7</v>
      </c>
      <c r="H9" s="4">
        <v>2</v>
      </c>
      <c r="I9" s="4" t="s">
        <v>123</v>
      </c>
      <c r="J9" s="4">
        <v>0</v>
      </c>
      <c r="N9" s="12" t="s">
        <v>270</v>
      </c>
      <c r="O9" s="12" t="s">
        <v>263</v>
      </c>
      <c r="P9" s="12" t="s">
        <v>262</v>
      </c>
      <c r="Q9" s="12" t="s">
        <v>262</v>
      </c>
      <c r="R9" s="12" t="s">
        <v>262</v>
      </c>
    </row>
    <row r="10" spans="1:18" x14ac:dyDescent="0.2">
      <c r="A10" s="4">
        <v>9</v>
      </c>
      <c r="B10" s="4" t="s">
        <v>58</v>
      </c>
      <c r="C10" s="16">
        <v>45000</v>
      </c>
      <c r="D10" s="6">
        <v>0.45</v>
      </c>
      <c r="E10" s="4" t="s">
        <v>124</v>
      </c>
      <c r="F10" s="4" t="s">
        <v>67</v>
      </c>
      <c r="G10" s="4">
        <v>5</v>
      </c>
      <c r="H10" s="4">
        <v>2</v>
      </c>
      <c r="I10" s="4" t="s">
        <v>125</v>
      </c>
      <c r="J10" s="4">
        <v>0</v>
      </c>
      <c r="N10" s="12" t="s">
        <v>271</v>
      </c>
      <c r="O10" s="12" t="s">
        <v>262</v>
      </c>
      <c r="P10" s="12" t="s">
        <v>263</v>
      </c>
      <c r="Q10" s="12" t="s">
        <v>262</v>
      </c>
      <c r="R10" s="12" t="s">
        <v>262</v>
      </c>
    </row>
    <row r="11" spans="1:18" x14ac:dyDescent="0.2">
      <c r="A11" s="4">
        <v>10</v>
      </c>
      <c r="B11" s="4" t="s">
        <v>59</v>
      </c>
      <c r="C11" s="16">
        <v>45000</v>
      </c>
      <c r="D11" s="6">
        <v>0.45</v>
      </c>
      <c r="E11" s="4" t="s">
        <v>126</v>
      </c>
      <c r="F11" s="4" t="s">
        <v>67</v>
      </c>
      <c r="G11" s="4">
        <v>8</v>
      </c>
      <c r="H11" s="4">
        <v>1</v>
      </c>
      <c r="I11" s="4" t="s">
        <v>127</v>
      </c>
      <c r="J11" s="4">
        <v>0</v>
      </c>
      <c r="N11" s="12" t="s">
        <v>272</v>
      </c>
      <c r="O11" s="12" t="s">
        <v>263</v>
      </c>
      <c r="P11" s="12" t="s">
        <v>263</v>
      </c>
      <c r="Q11" s="12" t="s">
        <v>262</v>
      </c>
      <c r="R11" s="12" t="s">
        <v>262</v>
      </c>
    </row>
    <row r="12" spans="1:18" x14ac:dyDescent="0.2">
      <c r="A12" s="4">
        <v>11</v>
      </c>
      <c r="B12" s="4" t="s">
        <v>60</v>
      </c>
      <c r="C12" s="16">
        <v>45000</v>
      </c>
      <c r="D12" s="6">
        <v>0.75</v>
      </c>
      <c r="E12" s="4" t="s">
        <v>128</v>
      </c>
      <c r="F12" s="4" t="s">
        <v>67</v>
      </c>
      <c r="G12" s="4">
        <v>8</v>
      </c>
      <c r="H12" s="4">
        <v>1</v>
      </c>
      <c r="I12" s="4" t="s">
        <v>129</v>
      </c>
      <c r="J12" s="4">
        <v>0</v>
      </c>
      <c r="N12" s="12" t="s">
        <v>273</v>
      </c>
      <c r="O12" s="12" t="s">
        <v>262</v>
      </c>
      <c r="P12" s="12" t="s">
        <v>262</v>
      </c>
      <c r="Q12" s="12" t="s">
        <v>262</v>
      </c>
      <c r="R12" s="12" t="s">
        <v>262</v>
      </c>
    </row>
    <row r="13" spans="1:18" ht="24" x14ac:dyDescent="0.2">
      <c r="A13" s="4">
        <v>12</v>
      </c>
      <c r="B13" s="4" t="s">
        <v>61</v>
      </c>
      <c r="C13" s="16">
        <v>45000</v>
      </c>
      <c r="D13" s="6">
        <v>0.75</v>
      </c>
      <c r="E13" s="4" t="s">
        <v>130</v>
      </c>
      <c r="F13" s="4" t="s">
        <v>67</v>
      </c>
      <c r="G13" s="4">
        <v>7</v>
      </c>
      <c r="H13" s="4">
        <v>2</v>
      </c>
      <c r="I13" s="4" t="s">
        <v>131</v>
      </c>
      <c r="J13" s="4">
        <v>0</v>
      </c>
      <c r="N13" s="12" t="s">
        <v>274</v>
      </c>
      <c r="O13" s="12" t="s">
        <v>263</v>
      </c>
      <c r="P13" s="12" t="s">
        <v>263</v>
      </c>
      <c r="Q13" s="12" t="s">
        <v>262</v>
      </c>
      <c r="R13" s="12" t="s">
        <v>262</v>
      </c>
    </row>
    <row r="14" spans="1:18" ht="24" x14ac:dyDescent="0.2">
      <c r="A14" s="4">
        <v>13</v>
      </c>
      <c r="B14" s="4" t="s">
        <v>62</v>
      </c>
      <c r="C14" s="16">
        <v>100000</v>
      </c>
      <c r="D14" s="6">
        <v>1</v>
      </c>
      <c r="E14" s="4" t="s">
        <v>132</v>
      </c>
      <c r="F14" s="4" t="s">
        <v>67</v>
      </c>
      <c r="G14" s="4">
        <v>5</v>
      </c>
      <c r="H14" s="4">
        <v>3</v>
      </c>
      <c r="I14" s="4" t="s">
        <v>133</v>
      </c>
      <c r="J14" s="4">
        <v>0</v>
      </c>
      <c r="N14" s="12" t="s">
        <v>275</v>
      </c>
      <c r="O14" s="12" t="s">
        <v>262</v>
      </c>
      <c r="P14" s="12" t="s">
        <v>262</v>
      </c>
      <c r="Q14" s="12" t="s">
        <v>262</v>
      </c>
      <c r="R14" s="12" t="s">
        <v>262</v>
      </c>
    </row>
    <row r="15" spans="1:18" ht="24" x14ac:dyDescent="0.2">
      <c r="A15" s="4">
        <v>14</v>
      </c>
      <c r="B15" s="4" t="s">
        <v>63</v>
      </c>
      <c r="C15" s="16">
        <v>100000</v>
      </c>
      <c r="D15" s="6">
        <v>1</v>
      </c>
      <c r="E15" s="4" t="s">
        <v>134</v>
      </c>
      <c r="F15" s="4" t="s">
        <v>48</v>
      </c>
      <c r="G15" s="4">
        <v>8</v>
      </c>
      <c r="H15" s="4">
        <v>1</v>
      </c>
      <c r="I15" s="4" t="s">
        <v>135</v>
      </c>
      <c r="J15" s="4">
        <v>0</v>
      </c>
      <c r="N15" s="12" t="s">
        <v>276</v>
      </c>
      <c r="O15" s="12" t="s">
        <v>262</v>
      </c>
      <c r="P15" s="12" t="s">
        <v>262</v>
      </c>
      <c r="Q15" s="12" t="s">
        <v>262</v>
      </c>
      <c r="R15" s="12" t="s">
        <v>262</v>
      </c>
    </row>
  </sheetData>
  <autoFilter ref="A1:A25" xr:uid="{CEE3CEDF-EB5F-41D4-AA72-A5A69376ADD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2662-5D96-4DD0-A5B7-177866A2E643}">
  <sheetPr>
    <tabColor theme="4" tint="0.79998168889431442"/>
  </sheetPr>
  <dimension ref="A1:V81"/>
  <sheetViews>
    <sheetView tabSelected="1" zoomScale="115" zoomScaleNormal="115" workbookViewId="0">
      <pane ySplit="1" topLeftCell="A41" activePane="bottomLeft" state="frozen"/>
      <selection pane="bottomLeft" activeCell="S65" sqref="S65"/>
    </sheetView>
  </sheetViews>
  <sheetFormatPr defaultColWidth="16.5" defaultRowHeight="12" x14ac:dyDescent="0.2"/>
  <cols>
    <col min="1" max="1" width="9.1640625" customWidth="1"/>
    <col min="2" max="2" width="11.6640625" customWidth="1"/>
    <col min="3" max="4" width="9.1640625" customWidth="1"/>
    <col min="5" max="5" width="8.83203125" customWidth="1"/>
    <col min="6" max="6" width="13.83203125" customWidth="1"/>
    <col min="7" max="7" width="13.6640625" style="7" customWidth="1"/>
    <col min="8" max="8" width="9" style="7" customWidth="1"/>
    <col min="9" max="9" width="11.1640625" style="7" customWidth="1"/>
    <col min="10" max="10" width="13.83203125" style="7" customWidth="1"/>
    <col min="11" max="11" width="14.83203125" style="7" customWidth="1"/>
  </cols>
  <sheetData>
    <row r="1" spans="1:11" s="39" customFormat="1" ht="24.4" customHeight="1" x14ac:dyDescent="0.2">
      <c r="A1" s="2" t="s">
        <v>0</v>
      </c>
      <c r="B1" s="2" t="s">
        <v>1</v>
      </c>
      <c r="C1" s="2" t="s">
        <v>2</v>
      </c>
      <c r="D1" s="2" t="s">
        <v>10</v>
      </c>
      <c r="E1" s="2" t="s">
        <v>31</v>
      </c>
      <c r="F1" s="15" t="s">
        <v>85</v>
      </c>
      <c r="G1" s="15" t="s">
        <v>86</v>
      </c>
      <c r="H1" s="15" t="s">
        <v>3</v>
      </c>
      <c r="I1" s="15" t="s">
        <v>39</v>
      </c>
      <c r="J1" s="15" t="s">
        <v>40</v>
      </c>
      <c r="K1" s="15" t="s">
        <v>84</v>
      </c>
    </row>
    <row r="2" spans="1:11" x14ac:dyDescent="0.2">
      <c r="A2" s="4">
        <v>6</v>
      </c>
      <c r="B2" s="4" t="s">
        <v>184</v>
      </c>
      <c r="C2" s="4" t="s">
        <v>6</v>
      </c>
      <c r="D2" s="4" t="s">
        <v>11</v>
      </c>
      <c r="E2" s="4" t="s">
        <v>24</v>
      </c>
      <c r="F2" s="18">
        <v>25</v>
      </c>
      <c r="G2" s="18">
        <v>25</v>
      </c>
      <c r="H2" s="24">
        <v>68</v>
      </c>
      <c r="I2" s="24">
        <v>42.39</v>
      </c>
      <c r="J2" s="17">
        <v>20</v>
      </c>
      <c r="K2" s="24">
        <v>94.44</v>
      </c>
    </row>
    <row r="3" spans="1:11" x14ac:dyDescent="0.2">
      <c r="A3" s="4">
        <v>6</v>
      </c>
      <c r="B3" s="4" t="s">
        <v>185</v>
      </c>
      <c r="C3" s="4" t="s">
        <v>6</v>
      </c>
      <c r="D3" s="4" t="s">
        <v>11</v>
      </c>
      <c r="E3" s="4" t="s">
        <v>24</v>
      </c>
      <c r="F3" s="18">
        <v>25</v>
      </c>
      <c r="G3" s="18">
        <v>25</v>
      </c>
      <c r="H3" s="24">
        <v>68</v>
      </c>
      <c r="I3" s="24">
        <v>42.39</v>
      </c>
      <c r="J3" s="17">
        <v>20</v>
      </c>
      <c r="K3" s="24">
        <v>94.44</v>
      </c>
    </row>
    <row r="4" spans="1:11" x14ac:dyDescent="0.2">
      <c r="A4" s="4">
        <v>6</v>
      </c>
      <c r="B4" s="4" t="s">
        <v>186</v>
      </c>
      <c r="C4" s="4" t="s">
        <v>6</v>
      </c>
      <c r="D4" s="4" t="s">
        <v>11</v>
      </c>
      <c r="E4" s="4" t="s">
        <v>24</v>
      </c>
      <c r="F4" s="18">
        <v>25</v>
      </c>
      <c r="G4" s="18">
        <v>25</v>
      </c>
      <c r="H4" s="24">
        <v>68</v>
      </c>
      <c r="I4" s="24">
        <v>42.39</v>
      </c>
      <c r="J4" s="17">
        <v>20</v>
      </c>
      <c r="K4" s="24">
        <v>94.44</v>
      </c>
    </row>
    <row r="5" spans="1:11" x14ac:dyDescent="0.2">
      <c r="A5" s="4">
        <v>6</v>
      </c>
      <c r="B5" s="4" t="s">
        <v>187</v>
      </c>
      <c r="C5" s="4" t="s">
        <v>6</v>
      </c>
      <c r="D5" s="4" t="s">
        <v>11</v>
      </c>
      <c r="E5" s="4" t="s">
        <v>24</v>
      </c>
      <c r="F5" s="18">
        <v>25</v>
      </c>
      <c r="G5" s="18">
        <v>25</v>
      </c>
      <c r="H5" s="24">
        <v>68</v>
      </c>
      <c r="I5" s="24">
        <v>42.39</v>
      </c>
      <c r="J5" s="17">
        <v>20</v>
      </c>
      <c r="K5" s="24">
        <v>94.44</v>
      </c>
    </row>
    <row r="6" spans="1:11" x14ac:dyDescent="0.2">
      <c r="A6" s="4">
        <v>6</v>
      </c>
      <c r="B6" s="4" t="s">
        <v>184</v>
      </c>
      <c r="C6" s="4" t="s">
        <v>6</v>
      </c>
      <c r="D6" s="4" t="s">
        <v>12</v>
      </c>
      <c r="E6" s="4" t="s">
        <v>24</v>
      </c>
      <c r="F6" s="18">
        <v>25</v>
      </c>
      <c r="G6" s="18">
        <v>25</v>
      </c>
      <c r="H6" s="24">
        <v>68</v>
      </c>
      <c r="I6" s="24">
        <v>28.72</v>
      </c>
      <c r="J6" s="17">
        <v>20</v>
      </c>
      <c r="K6" s="24">
        <v>94.44</v>
      </c>
    </row>
    <row r="7" spans="1:11" x14ac:dyDescent="0.2">
      <c r="A7" s="4">
        <v>6</v>
      </c>
      <c r="B7" s="4" t="s">
        <v>185</v>
      </c>
      <c r="C7" s="4" t="s">
        <v>6</v>
      </c>
      <c r="D7" s="4" t="s">
        <v>12</v>
      </c>
      <c r="E7" s="4" t="s">
        <v>24</v>
      </c>
      <c r="F7" s="18">
        <v>25</v>
      </c>
      <c r="G7" s="18">
        <v>25</v>
      </c>
      <c r="H7" s="24">
        <v>68</v>
      </c>
      <c r="I7" s="24">
        <v>28.72</v>
      </c>
      <c r="J7" s="17">
        <v>20</v>
      </c>
      <c r="K7" s="24">
        <v>94.44</v>
      </c>
    </row>
    <row r="8" spans="1:11" x14ac:dyDescent="0.2">
      <c r="A8" s="4">
        <v>6</v>
      </c>
      <c r="B8" s="4" t="s">
        <v>186</v>
      </c>
      <c r="C8" s="4" t="s">
        <v>6</v>
      </c>
      <c r="D8" s="4" t="s">
        <v>12</v>
      </c>
      <c r="E8" s="4" t="s">
        <v>24</v>
      </c>
      <c r="F8" s="18">
        <v>25</v>
      </c>
      <c r="G8" s="18">
        <v>25</v>
      </c>
      <c r="H8" s="24">
        <v>68</v>
      </c>
      <c r="I8" s="24">
        <v>28.72</v>
      </c>
      <c r="J8" s="17">
        <v>20</v>
      </c>
      <c r="K8" s="24">
        <v>94.44</v>
      </c>
    </row>
    <row r="9" spans="1:11" x14ac:dyDescent="0.2">
      <c r="A9" s="4">
        <v>6</v>
      </c>
      <c r="B9" s="4" t="s">
        <v>187</v>
      </c>
      <c r="C9" s="4" t="s">
        <v>6</v>
      </c>
      <c r="D9" s="4" t="s">
        <v>12</v>
      </c>
      <c r="E9" s="4" t="s">
        <v>24</v>
      </c>
      <c r="F9" s="18">
        <v>25</v>
      </c>
      <c r="G9" s="18">
        <v>25</v>
      </c>
      <c r="H9" s="24">
        <v>68</v>
      </c>
      <c r="I9" s="24">
        <v>28.72</v>
      </c>
      <c r="J9" s="17">
        <v>20</v>
      </c>
      <c r="K9" s="24">
        <v>94.44</v>
      </c>
    </row>
    <row r="10" spans="1:11" x14ac:dyDescent="0.2">
      <c r="A10" s="4">
        <v>6</v>
      </c>
      <c r="B10" s="4" t="s">
        <v>184</v>
      </c>
      <c r="C10" s="12" t="s">
        <v>14</v>
      </c>
      <c r="D10" s="4" t="s">
        <v>11</v>
      </c>
      <c r="E10" s="4" t="s">
        <v>24</v>
      </c>
      <c r="F10" s="18">
        <v>25</v>
      </c>
      <c r="G10" s="18">
        <v>25</v>
      </c>
      <c r="H10" s="24">
        <v>68</v>
      </c>
      <c r="I10" s="24">
        <v>34.58</v>
      </c>
      <c r="J10" s="17">
        <v>20</v>
      </c>
      <c r="K10" s="24">
        <v>81.55</v>
      </c>
    </row>
    <row r="11" spans="1:11" x14ac:dyDescent="0.2">
      <c r="A11" s="4">
        <v>6</v>
      </c>
      <c r="B11" s="4" t="s">
        <v>185</v>
      </c>
      <c r="C11" s="12" t="s">
        <v>14</v>
      </c>
      <c r="D11" s="4" t="s">
        <v>11</v>
      </c>
      <c r="E11" s="4" t="s">
        <v>24</v>
      </c>
      <c r="F11" s="18">
        <v>25</v>
      </c>
      <c r="G11" s="18">
        <v>25</v>
      </c>
      <c r="H11" s="24">
        <v>68</v>
      </c>
      <c r="I11" s="24">
        <v>34.58</v>
      </c>
      <c r="J11" s="17">
        <v>20</v>
      </c>
      <c r="K11" s="24">
        <v>81.55</v>
      </c>
    </row>
    <row r="12" spans="1:11" x14ac:dyDescent="0.2">
      <c r="A12" s="4">
        <v>6</v>
      </c>
      <c r="B12" s="4" t="s">
        <v>186</v>
      </c>
      <c r="C12" s="12" t="s">
        <v>14</v>
      </c>
      <c r="D12" s="4" t="s">
        <v>11</v>
      </c>
      <c r="E12" s="4" t="s">
        <v>24</v>
      </c>
      <c r="F12" s="18">
        <v>25</v>
      </c>
      <c r="G12" s="18">
        <v>25</v>
      </c>
      <c r="H12" s="24">
        <v>68</v>
      </c>
      <c r="I12" s="24">
        <v>34.58</v>
      </c>
      <c r="J12" s="17">
        <v>20</v>
      </c>
      <c r="K12" s="24">
        <v>81.55</v>
      </c>
    </row>
    <row r="13" spans="1:11" x14ac:dyDescent="0.2">
      <c r="A13" s="4">
        <v>6</v>
      </c>
      <c r="B13" s="4" t="s">
        <v>187</v>
      </c>
      <c r="C13" s="12" t="s">
        <v>14</v>
      </c>
      <c r="D13" s="4" t="s">
        <v>11</v>
      </c>
      <c r="E13" s="4" t="s">
        <v>24</v>
      </c>
      <c r="F13" s="18">
        <v>25</v>
      </c>
      <c r="G13" s="18">
        <v>25</v>
      </c>
      <c r="H13" s="24">
        <v>68</v>
      </c>
      <c r="I13" s="24">
        <v>34.58</v>
      </c>
      <c r="J13" s="17">
        <v>20</v>
      </c>
      <c r="K13" s="24">
        <v>81.55</v>
      </c>
    </row>
    <row r="14" spans="1:11" x14ac:dyDescent="0.2">
      <c r="A14" s="4">
        <v>6</v>
      </c>
      <c r="B14" s="4" t="s">
        <v>184</v>
      </c>
      <c r="C14" s="12" t="s">
        <v>14</v>
      </c>
      <c r="D14" s="4" t="s">
        <v>12</v>
      </c>
      <c r="E14" s="4" t="s">
        <v>24</v>
      </c>
      <c r="F14" s="18">
        <v>25</v>
      </c>
      <c r="G14" s="18">
        <v>25</v>
      </c>
      <c r="H14" s="24">
        <v>68</v>
      </c>
      <c r="I14" s="24">
        <v>22.16</v>
      </c>
      <c r="J14" s="17">
        <v>20</v>
      </c>
      <c r="K14" s="24">
        <v>81.55</v>
      </c>
    </row>
    <row r="15" spans="1:11" x14ac:dyDescent="0.2">
      <c r="A15" s="4">
        <v>6</v>
      </c>
      <c r="B15" s="4" t="s">
        <v>185</v>
      </c>
      <c r="C15" s="12" t="s">
        <v>14</v>
      </c>
      <c r="D15" s="4" t="s">
        <v>12</v>
      </c>
      <c r="E15" s="4" t="s">
        <v>24</v>
      </c>
      <c r="F15" s="18">
        <v>25</v>
      </c>
      <c r="G15" s="18">
        <v>25</v>
      </c>
      <c r="H15" s="24">
        <v>68</v>
      </c>
      <c r="I15" s="24">
        <v>22.16</v>
      </c>
      <c r="J15" s="17">
        <v>20</v>
      </c>
      <c r="K15" s="24">
        <v>81.55</v>
      </c>
    </row>
    <row r="16" spans="1:11" x14ac:dyDescent="0.2">
      <c r="A16" s="4">
        <v>6</v>
      </c>
      <c r="B16" s="4" t="s">
        <v>186</v>
      </c>
      <c r="C16" s="12" t="s">
        <v>14</v>
      </c>
      <c r="D16" s="4" t="s">
        <v>12</v>
      </c>
      <c r="E16" s="4" t="s">
        <v>24</v>
      </c>
      <c r="F16" s="18">
        <v>25</v>
      </c>
      <c r="G16" s="18">
        <v>25</v>
      </c>
      <c r="H16" s="24">
        <v>68</v>
      </c>
      <c r="I16" s="24">
        <v>22.16</v>
      </c>
      <c r="J16" s="17">
        <v>20</v>
      </c>
      <c r="K16" s="24">
        <v>81.55</v>
      </c>
    </row>
    <row r="17" spans="1:11" x14ac:dyDescent="0.2">
      <c r="A17" s="4">
        <v>6</v>
      </c>
      <c r="B17" s="4" t="s">
        <v>187</v>
      </c>
      <c r="C17" s="12" t="s">
        <v>14</v>
      </c>
      <c r="D17" s="4" t="s">
        <v>12</v>
      </c>
      <c r="E17" s="4" t="s">
        <v>24</v>
      </c>
      <c r="F17" s="18">
        <v>25</v>
      </c>
      <c r="G17" s="18">
        <v>25</v>
      </c>
      <c r="H17" s="24">
        <v>68</v>
      </c>
      <c r="I17" s="24">
        <v>22.16</v>
      </c>
      <c r="J17" s="17">
        <v>20</v>
      </c>
      <c r="K17" s="24">
        <v>81.55</v>
      </c>
    </row>
    <row r="18" spans="1:11" x14ac:dyDescent="0.2">
      <c r="A18" s="4">
        <v>6</v>
      </c>
      <c r="B18" s="4" t="s">
        <v>184</v>
      </c>
      <c r="C18" s="12" t="s">
        <v>15</v>
      </c>
      <c r="D18" s="4" t="s">
        <v>11</v>
      </c>
      <c r="E18" s="4" t="s">
        <v>24</v>
      </c>
      <c r="F18" s="18">
        <v>25</v>
      </c>
      <c r="G18" s="18">
        <v>25</v>
      </c>
      <c r="H18" s="24">
        <v>91</v>
      </c>
      <c r="I18" s="24">
        <v>26.84</v>
      </c>
      <c r="J18" s="17">
        <v>20</v>
      </c>
      <c r="K18" s="24">
        <v>95.32</v>
      </c>
    </row>
    <row r="19" spans="1:11" x14ac:dyDescent="0.2">
      <c r="A19" s="4">
        <v>6</v>
      </c>
      <c r="B19" s="4" t="s">
        <v>185</v>
      </c>
      <c r="C19" s="12" t="s">
        <v>15</v>
      </c>
      <c r="D19" s="4" t="s">
        <v>11</v>
      </c>
      <c r="E19" s="4" t="s">
        <v>24</v>
      </c>
      <c r="F19" s="18">
        <v>25</v>
      </c>
      <c r="G19" s="18">
        <v>25</v>
      </c>
      <c r="H19" s="24">
        <v>91</v>
      </c>
      <c r="I19" s="24">
        <v>26.84</v>
      </c>
      <c r="J19" s="17">
        <v>20</v>
      </c>
      <c r="K19" s="24">
        <v>95.32</v>
      </c>
    </row>
    <row r="20" spans="1:11" x14ac:dyDescent="0.2">
      <c r="A20" s="4">
        <v>6</v>
      </c>
      <c r="B20" s="4" t="s">
        <v>186</v>
      </c>
      <c r="C20" s="12" t="s">
        <v>15</v>
      </c>
      <c r="D20" s="4" t="s">
        <v>11</v>
      </c>
      <c r="E20" s="4" t="s">
        <v>24</v>
      </c>
      <c r="F20" s="18">
        <v>25</v>
      </c>
      <c r="G20" s="18">
        <v>25</v>
      </c>
      <c r="H20" s="24">
        <v>91</v>
      </c>
      <c r="I20" s="24">
        <v>26.84</v>
      </c>
      <c r="J20" s="17">
        <v>20</v>
      </c>
      <c r="K20" s="24">
        <v>95.32</v>
      </c>
    </row>
    <row r="21" spans="1:11" x14ac:dyDescent="0.2">
      <c r="A21" s="4">
        <v>6</v>
      </c>
      <c r="B21" s="4" t="s">
        <v>187</v>
      </c>
      <c r="C21" s="12" t="s">
        <v>15</v>
      </c>
      <c r="D21" s="4" t="s">
        <v>11</v>
      </c>
      <c r="E21" s="4" t="s">
        <v>24</v>
      </c>
      <c r="F21" s="18">
        <v>25</v>
      </c>
      <c r="G21" s="18">
        <v>25</v>
      </c>
      <c r="H21" s="24">
        <v>91</v>
      </c>
      <c r="I21" s="24">
        <v>26.84</v>
      </c>
      <c r="J21" s="17">
        <v>20</v>
      </c>
      <c r="K21" s="24">
        <v>95.32</v>
      </c>
    </row>
    <row r="22" spans="1:11" x14ac:dyDescent="0.2">
      <c r="A22" s="4">
        <v>6</v>
      </c>
      <c r="B22" s="4" t="s">
        <v>184</v>
      </c>
      <c r="C22" s="12" t="s">
        <v>15</v>
      </c>
      <c r="D22" s="4" t="s">
        <v>12</v>
      </c>
      <c r="E22" s="4" t="s">
        <v>24</v>
      </c>
      <c r="F22" s="18">
        <v>25</v>
      </c>
      <c r="G22" s="18">
        <v>25</v>
      </c>
      <c r="H22" s="24">
        <v>91</v>
      </c>
      <c r="I22" s="24">
        <v>23.1</v>
      </c>
      <c r="J22" s="17">
        <v>20</v>
      </c>
      <c r="K22" s="24">
        <v>95.32</v>
      </c>
    </row>
    <row r="23" spans="1:11" x14ac:dyDescent="0.2">
      <c r="A23" s="4">
        <v>6</v>
      </c>
      <c r="B23" s="4" t="s">
        <v>185</v>
      </c>
      <c r="C23" s="12" t="s">
        <v>15</v>
      </c>
      <c r="D23" s="4" t="s">
        <v>12</v>
      </c>
      <c r="E23" s="4" t="s">
        <v>24</v>
      </c>
      <c r="F23" s="18">
        <v>25</v>
      </c>
      <c r="G23" s="18">
        <v>25</v>
      </c>
      <c r="H23" s="24">
        <v>91</v>
      </c>
      <c r="I23" s="24">
        <v>23.1</v>
      </c>
      <c r="J23" s="17">
        <v>20</v>
      </c>
      <c r="K23" s="24">
        <v>95.32</v>
      </c>
    </row>
    <row r="24" spans="1:11" x14ac:dyDescent="0.2">
      <c r="A24" s="4">
        <v>6</v>
      </c>
      <c r="B24" s="4" t="s">
        <v>186</v>
      </c>
      <c r="C24" s="12" t="s">
        <v>15</v>
      </c>
      <c r="D24" s="4" t="s">
        <v>12</v>
      </c>
      <c r="E24" s="4" t="s">
        <v>24</v>
      </c>
      <c r="F24" s="18">
        <v>25</v>
      </c>
      <c r="G24" s="18">
        <v>25</v>
      </c>
      <c r="H24" s="24">
        <v>91</v>
      </c>
      <c r="I24" s="24">
        <v>23.1</v>
      </c>
      <c r="J24" s="17">
        <v>20</v>
      </c>
      <c r="K24" s="24">
        <v>95.32</v>
      </c>
    </row>
    <row r="25" spans="1:11" x14ac:dyDescent="0.2">
      <c r="A25" s="4">
        <v>6</v>
      </c>
      <c r="B25" s="4" t="s">
        <v>187</v>
      </c>
      <c r="C25" s="12" t="s">
        <v>15</v>
      </c>
      <c r="D25" s="4" t="s">
        <v>12</v>
      </c>
      <c r="E25" s="4" t="s">
        <v>24</v>
      </c>
      <c r="F25" s="18">
        <v>25</v>
      </c>
      <c r="G25" s="18">
        <v>25</v>
      </c>
      <c r="H25" s="24">
        <v>91</v>
      </c>
      <c r="I25" s="24">
        <v>23.1</v>
      </c>
      <c r="J25" s="17">
        <v>20</v>
      </c>
      <c r="K25" s="24">
        <v>95.32</v>
      </c>
    </row>
    <row r="26" spans="1:11" x14ac:dyDescent="0.2">
      <c r="A26" s="4">
        <v>6</v>
      </c>
      <c r="B26" s="4" t="s">
        <v>184</v>
      </c>
      <c r="C26" s="12" t="s">
        <v>16</v>
      </c>
      <c r="D26" s="4" t="s">
        <v>11</v>
      </c>
      <c r="E26" s="4" t="s">
        <v>24</v>
      </c>
      <c r="F26" s="18">
        <v>0</v>
      </c>
      <c r="G26" s="18">
        <v>0</v>
      </c>
      <c r="H26" s="24">
        <v>0</v>
      </c>
      <c r="I26" s="24">
        <v>0</v>
      </c>
      <c r="J26" s="24">
        <v>0</v>
      </c>
      <c r="K26" s="24">
        <v>0</v>
      </c>
    </row>
    <row r="27" spans="1:11" x14ac:dyDescent="0.2">
      <c r="A27" s="4">
        <v>6</v>
      </c>
      <c r="B27" s="4" t="s">
        <v>185</v>
      </c>
      <c r="C27" s="12" t="s">
        <v>16</v>
      </c>
      <c r="D27" s="4" t="s">
        <v>11</v>
      </c>
      <c r="E27" s="4" t="s">
        <v>24</v>
      </c>
      <c r="F27" s="18">
        <v>0</v>
      </c>
      <c r="G27" s="18">
        <v>0</v>
      </c>
      <c r="H27" s="24">
        <v>0</v>
      </c>
      <c r="I27" s="24">
        <v>0</v>
      </c>
      <c r="J27" s="24">
        <v>0</v>
      </c>
      <c r="K27" s="24">
        <v>0</v>
      </c>
    </row>
    <row r="28" spans="1:11" x14ac:dyDescent="0.2">
      <c r="A28" s="4">
        <v>6</v>
      </c>
      <c r="B28" s="4" t="s">
        <v>186</v>
      </c>
      <c r="C28" s="12" t="s">
        <v>16</v>
      </c>
      <c r="D28" s="4" t="s">
        <v>11</v>
      </c>
      <c r="E28" s="4" t="s">
        <v>24</v>
      </c>
      <c r="F28" s="18">
        <v>0</v>
      </c>
      <c r="G28" s="18">
        <v>0</v>
      </c>
      <c r="H28" s="24">
        <v>0</v>
      </c>
      <c r="I28" s="24">
        <v>0</v>
      </c>
      <c r="J28" s="24">
        <v>0</v>
      </c>
      <c r="K28" s="24">
        <v>0</v>
      </c>
    </row>
    <row r="29" spans="1:11" x14ac:dyDescent="0.2">
      <c r="A29" s="4">
        <v>6</v>
      </c>
      <c r="B29" s="4" t="s">
        <v>187</v>
      </c>
      <c r="C29" s="12" t="s">
        <v>16</v>
      </c>
      <c r="D29" s="4" t="s">
        <v>11</v>
      </c>
      <c r="E29" s="4" t="s">
        <v>24</v>
      </c>
      <c r="F29" s="18">
        <v>0</v>
      </c>
      <c r="G29" s="18">
        <v>0</v>
      </c>
      <c r="H29" s="24">
        <v>0</v>
      </c>
      <c r="I29" s="24">
        <v>0</v>
      </c>
      <c r="J29" s="24">
        <v>0</v>
      </c>
      <c r="K29" s="24">
        <v>0</v>
      </c>
    </row>
    <row r="30" spans="1:11" x14ac:dyDescent="0.2">
      <c r="A30" s="4">
        <v>6</v>
      </c>
      <c r="B30" s="4" t="s">
        <v>184</v>
      </c>
      <c r="C30" s="12" t="s">
        <v>16</v>
      </c>
      <c r="D30" s="4" t="s">
        <v>12</v>
      </c>
      <c r="E30" s="4" t="s">
        <v>24</v>
      </c>
      <c r="F30" s="18">
        <v>0</v>
      </c>
      <c r="G30" s="18">
        <v>0</v>
      </c>
      <c r="H30" s="18">
        <v>0</v>
      </c>
      <c r="I30" s="24">
        <v>0</v>
      </c>
      <c r="J30" s="18">
        <v>0</v>
      </c>
      <c r="K30" s="18">
        <v>0</v>
      </c>
    </row>
    <row r="31" spans="1:11" x14ac:dyDescent="0.2">
      <c r="A31" s="4">
        <v>6</v>
      </c>
      <c r="B31" s="4" t="s">
        <v>185</v>
      </c>
      <c r="C31" s="12" t="s">
        <v>16</v>
      </c>
      <c r="D31" s="4" t="s">
        <v>12</v>
      </c>
      <c r="E31" s="4" t="s">
        <v>24</v>
      </c>
      <c r="F31" s="18">
        <v>0</v>
      </c>
      <c r="G31" s="18">
        <v>0</v>
      </c>
      <c r="H31" s="18">
        <v>0</v>
      </c>
      <c r="I31" s="24">
        <v>0</v>
      </c>
      <c r="J31" s="18">
        <v>0</v>
      </c>
      <c r="K31" s="18">
        <v>0</v>
      </c>
    </row>
    <row r="32" spans="1:11" x14ac:dyDescent="0.2">
      <c r="A32" s="4">
        <v>6</v>
      </c>
      <c r="B32" s="4" t="s">
        <v>186</v>
      </c>
      <c r="C32" s="12" t="s">
        <v>16</v>
      </c>
      <c r="D32" s="4" t="s">
        <v>12</v>
      </c>
      <c r="E32" s="4" t="s">
        <v>24</v>
      </c>
      <c r="F32" s="18">
        <v>0</v>
      </c>
      <c r="G32" s="18">
        <v>0</v>
      </c>
      <c r="H32" s="18">
        <v>0</v>
      </c>
      <c r="I32" s="24">
        <v>0</v>
      </c>
      <c r="J32" s="18">
        <v>0</v>
      </c>
      <c r="K32" s="18">
        <v>0</v>
      </c>
    </row>
    <row r="33" spans="1:22" x14ac:dyDescent="0.2">
      <c r="A33" s="4">
        <v>6</v>
      </c>
      <c r="B33" s="4" t="s">
        <v>187</v>
      </c>
      <c r="C33" s="12" t="s">
        <v>16</v>
      </c>
      <c r="D33" s="4" t="s">
        <v>12</v>
      </c>
      <c r="E33" s="4" t="s">
        <v>24</v>
      </c>
      <c r="F33" s="18">
        <v>0</v>
      </c>
      <c r="G33" s="18">
        <v>0</v>
      </c>
      <c r="H33" s="18">
        <v>0</v>
      </c>
      <c r="I33" s="24">
        <v>0</v>
      </c>
      <c r="J33" s="18">
        <v>0</v>
      </c>
      <c r="K33" s="18">
        <v>0</v>
      </c>
    </row>
    <row r="34" spans="1:22" x14ac:dyDescent="0.2">
      <c r="A34" s="4">
        <v>6</v>
      </c>
      <c r="B34" s="4" t="s">
        <v>184</v>
      </c>
      <c r="C34" s="12" t="s">
        <v>17</v>
      </c>
      <c r="D34" s="4" t="s">
        <v>11</v>
      </c>
      <c r="E34" s="4" t="s">
        <v>24</v>
      </c>
      <c r="F34" s="18">
        <v>0</v>
      </c>
      <c r="G34" s="18">
        <v>0</v>
      </c>
      <c r="H34" s="18">
        <v>0</v>
      </c>
      <c r="I34" s="24">
        <v>0</v>
      </c>
      <c r="J34" s="18">
        <v>0</v>
      </c>
      <c r="K34" s="18">
        <v>0</v>
      </c>
    </row>
    <row r="35" spans="1:22" x14ac:dyDescent="0.2">
      <c r="A35" s="4">
        <v>6</v>
      </c>
      <c r="B35" s="4" t="s">
        <v>185</v>
      </c>
      <c r="C35" s="12" t="s">
        <v>17</v>
      </c>
      <c r="D35" s="4" t="s">
        <v>11</v>
      </c>
      <c r="E35" s="4" t="s">
        <v>24</v>
      </c>
      <c r="F35" s="18">
        <v>0</v>
      </c>
      <c r="G35" s="18">
        <v>0</v>
      </c>
      <c r="H35" s="18">
        <v>0</v>
      </c>
      <c r="I35" s="24">
        <v>0</v>
      </c>
      <c r="J35" s="18">
        <v>0</v>
      </c>
      <c r="K35" s="18">
        <v>0</v>
      </c>
    </row>
    <row r="36" spans="1:22" x14ac:dyDescent="0.2">
      <c r="A36" s="4">
        <v>6</v>
      </c>
      <c r="B36" s="4" t="s">
        <v>186</v>
      </c>
      <c r="C36" s="12" t="s">
        <v>17</v>
      </c>
      <c r="D36" s="4" t="s">
        <v>11</v>
      </c>
      <c r="E36" s="4" t="s">
        <v>24</v>
      </c>
      <c r="F36" s="18">
        <v>0</v>
      </c>
      <c r="G36" s="18">
        <v>0</v>
      </c>
      <c r="H36" s="18">
        <v>0</v>
      </c>
      <c r="I36" s="24">
        <v>0</v>
      </c>
      <c r="J36" s="18">
        <v>0</v>
      </c>
      <c r="K36" s="18">
        <v>0</v>
      </c>
    </row>
    <row r="37" spans="1:22" x14ac:dyDescent="0.2">
      <c r="A37" s="4">
        <v>6</v>
      </c>
      <c r="B37" s="4" t="s">
        <v>187</v>
      </c>
      <c r="C37" s="12" t="s">
        <v>17</v>
      </c>
      <c r="D37" s="4" t="s">
        <v>11</v>
      </c>
      <c r="E37" s="4" t="s">
        <v>24</v>
      </c>
      <c r="F37" s="18">
        <v>0</v>
      </c>
      <c r="G37" s="18">
        <v>0</v>
      </c>
      <c r="H37" s="18">
        <v>0</v>
      </c>
      <c r="I37" s="24">
        <v>0</v>
      </c>
      <c r="J37" s="18">
        <v>0</v>
      </c>
      <c r="K37" s="18">
        <v>0</v>
      </c>
    </row>
    <row r="38" spans="1:22" x14ac:dyDescent="0.2">
      <c r="A38" s="4">
        <v>6</v>
      </c>
      <c r="B38" s="4" t="s">
        <v>184</v>
      </c>
      <c r="C38" s="12" t="s">
        <v>17</v>
      </c>
      <c r="D38" s="4" t="s">
        <v>12</v>
      </c>
      <c r="E38" s="4" t="s">
        <v>24</v>
      </c>
      <c r="F38" s="18">
        <v>0</v>
      </c>
      <c r="G38" s="18">
        <v>0</v>
      </c>
      <c r="H38" s="18">
        <v>0</v>
      </c>
      <c r="I38" s="24">
        <v>0</v>
      </c>
      <c r="J38" s="18">
        <v>0</v>
      </c>
      <c r="K38" s="18">
        <v>0</v>
      </c>
    </row>
    <row r="39" spans="1:22" x14ac:dyDescent="0.2">
      <c r="A39" s="4">
        <v>6</v>
      </c>
      <c r="B39" s="4" t="s">
        <v>185</v>
      </c>
      <c r="C39" s="12" t="s">
        <v>17</v>
      </c>
      <c r="D39" s="4" t="s">
        <v>12</v>
      </c>
      <c r="E39" s="4" t="s">
        <v>24</v>
      </c>
      <c r="F39" s="18">
        <v>0</v>
      </c>
      <c r="G39" s="18">
        <v>0</v>
      </c>
      <c r="H39" s="18">
        <v>0</v>
      </c>
      <c r="I39" s="24">
        <v>0</v>
      </c>
      <c r="J39" s="18">
        <v>0</v>
      </c>
      <c r="K39" s="18">
        <v>0</v>
      </c>
    </row>
    <row r="40" spans="1:22" x14ac:dyDescent="0.2">
      <c r="A40" s="4">
        <v>6</v>
      </c>
      <c r="B40" s="4" t="s">
        <v>186</v>
      </c>
      <c r="C40" s="12" t="s">
        <v>17</v>
      </c>
      <c r="D40" s="4" t="s">
        <v>12</v>
      </c>
      <c r="E40" s="4" t="s">
        <v>24</v>
      </c>
      <c r="F40" s="18">
        <v>0</v>
      </c>
      <c r="G40" s="18">
        <v>0</v>
      </c>
      <c r="H40" s="18">
        <v>0</v>
      </c>
      <c r="I40" s="24">
        <v>0</v>
      </c>
      <c r="J40" s="18">
        <v>0</v>
      </c>
      <c r="K40" s="18">
        <v>0</v>
      </c>
    </row>
    <row r="41" spans="1:22" ht="24" x14ac:dyDescent="0.2">
      <c r="A41" s="4">
        <v>6</v>
      </c>
      <c r="B41" s="4" t="s">
        <v>187</v>
      </c>
      <c r="C41" s="12" t="s">
        <v>17</v>
      </c>
      <c r="D41" s="4" t="s">
        <v>12</v>
      </c>
      <c r="E41" s="4" t="s">
        <v>24</v>
      </c>
      <c r="F41" s="18">
        <v>0</v>
      </c>
      <c r="G41" s="18">
        <v>0</v>
      </c>
      <c r="H41" s="18">
        <v>0</v>
      </c>
      <c r="I41" s="24">
        <v>0</v>
      </c>
      <c r="J41" s="18">
        <v>0</v>
      </c>
      <c r="K41" s="18">
        <v>0</v>
      </c>
      <c r="L41" s="2" t="s">
        <v>0</v>
      </c>
      <c r="M41" s="2" t="s">
        <v>1</v>
      </c>
      <c r="N41" s="2" t="s">
        <v>2</v>
      </c>
      <c r="O41" s="2" t="s">
        <v>10</v>
      </c>
      <c r="P41" s="2" t="s">
        <v>31</v>
      </c>
      <c r="Q41" s="15" t="s">
        <v>85</v>
      </c>
      <c r="R41" s="15" t="s">
        <v>86</v>
      </c>
      <c r="S41" s="15" t="s">
        <v>3</v>
      </c>
      <c r="T41" s="15" t="s">
        <v>39</v>
      </c>
      <c r="U41" s="15" t="s">
        <v>40</v>
      </c>
      <c r="V41" s="15" t="s">
        <v>84</v>
      </c>
    </row>
    <row r="42" spans="1:22" x14ac:dyDescent="0.2">
      <c r="A42" s="4">
        <v>7</v>
      </c>
      <c r="B42" s="4" t="s">
        <v>184</v>
      </c>
      <c r="C42" s="4" t="s">
        <v>6</v>
      </c>
      <c r="D42" s="4" t="s">
        <v>11</v>
      </c>
      <c r="E42" t="s">
        <v>183</v>
      </c>
      <c r="F42" s="12" t="s">
        <v>188</v>
      </c>
      <c r="G42" s="12" t="s">
        <v>208</v>
      </c>
      <c r="H42" s="12" t="s">
        <v>244</v>
      </c>
      <c r="I42" s="12" t="s">
        <v>277</v>
      </c>
      <c r="J42" s="12" t="s">
        <v>314</v>
      </c>
      <c r="K42" s="12" t="s">
        <v>326</v>
      </c>
      <c r="L42">
        <v>7</v>
      </c>
      <c r="M42" t="s">
        <v>184</v>
      </c>
      <c r="N42" t="s">
        <v>6</v>
      </c>
      <c r="O42" t="s">
        <v>11</v>
      </c>
      <c r="P42" t="s">
        <v>24</v>
      </c>
      <c r="Q42">
        <v>38.200000000000003</v>
      </c>
      <c r="R42">
        <v>33.1</v>
      </c>
      <c r="S42">
        <v>78</v>
      </c>
      <c r="T42">
        <v>60.71</v>
      </c>
      <c r="U42">
        <v>76.510000000000005</v>
      </c>
      <c r="V42">
        <v>94.44</v>
      </c>
    </row>
    <row r="43" spans="1:22" x14ac:dyDescent="0.2">
      <c r="A43" s="4">
        <v>7</v>
      </c>
      <c r="B43" s="4" t="s">
        <v>185</v>
      </c>
      <c r="C43" s="4" t="s">
        <v>6</v>
      </c>
      <c r="D43" s="4" t="s">
        <v>11</v>
      </c>
      <c r="E43" t="s">
        <v>183</v>
      </c>
      <c r="F43" s="12" t="s">
        <v>193</v>
      </c>
      <c r="G43" s="12" t="s">
        <v>209</v>
      </c>
      <c r="H43" s="12" t="s">
        <v>245</v>
      </c>
      <c r="I43" s="12" t="s">
        <v>278</v>
      </c>
      <c r="J43" s="12" t="s">
        <v>315</v>
      </c>
      <c r="K43" s="12" t="s">
        <v>326</v>
      </c>
      <c r="L43">
        <v>7</v>
      </c>
      <c r="M43" t="s">
        <v>185</v>
      </c>
      <c r="N43" t="s">
        <v>6</v>
      </c>
      <c r="O43" t="s">
        <v>11</v>
      </c>
      <c r="P43" t="s">
        <v>24</v>
      </c>
      <c r="Q43">
        <v>7.9</v>
      </c>
      <c r="R43">
        <v>24.3</v>
      </c>
      <c r="S43">
        <v>102</v>
      </c>
      <c r="T43">
        <v>72.62</v>
      </c>
      <c r="U43">
        <v>84.14</v>
      </c>
      <c r="V43">
        <v>94.44</v>
      </c>
    </row>
    <row r="44" spans="1:22" s="60" customFormat="1" x14ac:dyDescent="0.2">
      <c r="A44" s="58">
        <v>7</v>
      </c>
      <c r="B44" s="58" t="s">
        <v>186</v>
      </c>
      <c r="C44" s="58" t="s">
        <v>6</v>
      </c>
      <c r="D44" s="58" t="s">
        <v>11</v>
      </c>
      <c r="E44" s="60" t="s">
        <v>183</v>
      </c>
      <c r="F44" s="59" t="s">
        <v>194</v>
      </c>
      <c r="G44" s="59" t="s">
        <v>210</v>
      </c>
      <c r="H44" s="59" t="s">
        <v>246</v>
      </c>
      <c r="I44" s="59" t="s">
        <v>279</v>
      </c>
      <c r="J44" s="59" t="s">
        <v>254</v>
      </c>
      <c r="K44" s="59" t="s">
        <v>326</v>
      </c>
      <c r="L44" s="60">
        <v>7</v>
      </c>
      <c r="M44" s="60" t="s">
        <v>186</v>
      </c>
      <c r="N44" s="60" t="s">
        <v>6</v>
      </c>
      <c r="O44" s="60" t="s">
        <v>11</v>
      </c>
      <c r="P44" s="60" t="s">
        <v>24</v>
      </c>
      <c r="Q44" s="60">
        <v>37.799999999999997</v>
      </c>
      <c r="R44" s="60">
        <v>22</v>
      </c>
      <c r="S44" s="62">
        <v>54</v>
      </c>
      <c r="T44" s="60">
        <v>61.02</v>
      </c>
      <c r="U44" s="60">
        <v>20</v>
      </c>
      <c r="V44" s="60">
        <v>94.44</v>
      </c>
    </row>
    <row r="45" spans="1:22" x14ac:dyDescent="0.2">
      <c r="A45" s="4">
        <v>7</v>
      </c>
      <c r="B45" s="4" t="s">
        <v>187</v>
      </c>
      <c r="C45" s="4" t="s">
        <v>6</v>
      </c>
      <c r="D45" s="4" t="s">
        <v>11</v>
      </c>
      <c r="E45" t="s">
        <v>183</v>
      </c>
      <c r="F45" s="12" t="s">
        <v>195</v>
      </c>
      <c r="G45" s="12" t="s">
        <v>211</v>
      </c>
      <c r="H45" s="12" t="s">
        <v>247</v>
      </c>
      <c r="I45" s="12" t="s">
        <v>280</v>
      </c>
      <c r="J45" s="12" t="s">
        <v>316</v>
      </c>
      <c r="K45" s="12" t="s">
        <v>326</v>
      </c>
      <c r="L45">
        <v>7</v>
      </c>
      <c r="M45" t="s">
        <v>187</v>
      </c>
      <c r="N45" t="s">
        <v>6</v>
      </c>
      <c r="O45" t="s">
        <v>11</v>
      </c>
      <c r="P45" t="s">
        <v>24</v>
      </c>
      <c r="Q45">
        <v>16.100000000000001</v>
      </c>
      <c r="R45">
        <v>20.7</v>
      </c>
      <c r="S45">
        <v>90</v>
      </c>
      <c r="T45">
        <v>67.56</v>
      </c>
      <c r="U45">
        <v>39.85</v>
      </c>
      <c r="V45">
        <v>94.44</v>
      </c>
    </row>
    <row r="46" spans="1:22" x14ac:dyDescent="0.2">
      <c r="A46" s="4">
        <v>7</v>
      </c>
      <c r="B46" s="4" t="s">
        <v>184</v>
      </c>
      <c r="C46" s="4" t="s">
        <v>6</v>
      </c>
      <c r="D46" s="4" t="s">
        <v>12</v>
      </c>
      <c r="E46" t="s">
        <v>183</v>
      </c>
      <c r="G46" s="12" t="s">
        <v>212</v>
      </c>
      <c r="I46" s="12" t="s">
        <v>281</v>
      </c>
      <c r="J46" s="12" t="s">
        <v>317</v>
      </c>
      <c r="L46">
        <v>7</v>
      </c>
      <c r="M46" t="s">
        <v>184</v>
      </c>
      <c r="N46" t="s">
        <v>6</v>
      </c>
      <c r="O46" t="s">
        <v>12</v>
      </c>
      <c r="P46" t="s">
        <v>24</v>
      </c>
      <c r="Q46">
        <v>38.200000000000003</v>
      </c>
      <c r="R46">
        <v>40.700000000000003</v>
      </c>
      <c r="S46">
        <v>78</v>
      </c>
      <c r="T46">
        <v>40.99</v>
      </c>
      <c r="U46">
        <v>82.42</v>
      </c>
      <c r="V46">
        <v>94.44</v>
      </c>
    </row>
    <row r="47" spans="1:22" x14ac:dyDescent="0.2">
      <c r="A47" s="4">
        <v>7</v>
      </c>
      <c r="B47" s="4" t="s">
        <v>185</v>
      </c>
      <c r="C47" s="4" t="s">
        <v>6</v>
      </c>
      <c r="D47" s="4" t="s">
        <v>12</v>
      </c>
      <c r="E47" t="s">
        <v>183</v>
      </c>
      <c r="G47" s="12" t="s">
        <v>213</v>
      </c>
      <c r="I47" s="12" t="s">
        <v>282</v>
      </c>
      <c r="J47" s="12" t="s">
        <v>318</v>
      </c>
      <c r="L47">
        <v>7</v>
      </c>
      <c r="M47" t="s">
        <v>185</v>
      </c>
      <c r="N47" t="s">
        <v>6</v>
      </c>
      <c r="O47" t="s">
        <v>12</v>
      </c>
      <c r="P47" t="s">
        <v>24</v>
      </c>
      <c r="Q47">
        <v>7.9</v>
      </c>
      <c r="R47">
        <v>0.2</v>
      </c>
      <c r="S47">
        <v>102</v>
      </c>
      <c r="T47">
        <v>61.69</v>
      </c>
      <c r="U47">
        <v>96.32</v>
      </c>
      <c r="V47">
        <v>94.44</v>
      </c>
    </row>
    <row r="48" spans="1:22" s="60" customFormat="1" x14ac:dyDescent="0.2">
      <c r="A48" s="58">
        <v>7</v>
      </c>
      <c r="B48" s="58" t="s">
        <v>186</v>
      </c>
      <c r="C48" s="58" t="s">
        <v>6</v>
      </c>
      <c r="D48" s="58" t="s">
        <v>12</v>
      </c>
      <c r="E48" s="60" t="s">
        <v>183</v>
      </c>
      <c r="G48" s="59" t="s">
        <v>214</v>
      </c>
      <c r="H48" s="61"/>
      <c r="I48" s="59" t="s">
        <v>283</v>
      </c>
      <c r="J48" s="59" t="s">
        <v>254</v>
      </c>
      <c r="K48" s="61"/>
      <c r="L48" s="60">
        <v>7</v>
      </c>
      <c r="M48" s="60" t="s">
        <v>186</v>
      </c>
      <c r="N48" s="60" t="s">
        <v>6</v>
      </c>
      <c r="O48" s="60" t="s">
        <v>12</v>
      </c>
      <c r="P48" s="60" t="s">
        <v>24</v>
      </c>
      <c r="Q48" s="60">
        <v>37.799999999999997</v>
      </c>
      <c r="R48" s="60">
        <v>45.2</v>
      </c>
      <c r="S48" s="62">
        <v>54</v>
      </c>
      <c r="T48" s="60">
        <v>45.93</v>
      </c>
      <c r="U48" s="60">
        <v>20</v>
      </c>
      <c r="V48" s="60">
        <v>94.44</v>
      </c>
    </row>
    <row r="49" spans="1:22" x14ac:dyDescent="0.2">
      <c r="A49" s="4">
        <v>7</v>
      </c>
      <c r="B49" s="4" t="s">
        <v>187</v>
      </c>
      <c r="C49" s="4" t="s">
        <v>6</v>
      </c>
      <c r="D49" s="4" t="s">
        <v>12</v>
      </c>
      <c r="E49" t="s">
        <v>183</v>
      </c>
      <c r="G49" s="12" t="s">
        <v>215</v>
      </c>
      <c r="I49" s="12" t="s">
        <v>284</v>
      </c>
      <c r="J49" s="12" t="s">
        <v>319</v>
      </c>
      <c r="L49">
        <v>7</v>
      </c>
      <c r="M49" t="s">
        <v>187</v>
      </c>
      <c r="N49" t="s">
        <v>6</v>
      </c>
      <c r="O49" t="s">
        <v>12</v>
      </c>
      <c r="P49" t="s">
        <v>24</v>
      </c>
      <c r="Q49">
        <v>16.100000000000001</v>
      </c>
      <c r="R49">
        <v>13.9</v>
      </c>
      <c r="S49">
        <v>90</v>
      </c>
      <c r="T49">
        <v>48.83</v>
      </c>
      <c r="U49">
        <v>53.1</v>
      </c>
      <c r="V49">
        <v>94.44</v>
      </c>
    </row>
    <row r="50" spans="1:22" x14ac:dyDescent="0.2">
      <c r="A50" s="4">
        <v>7</v>
      </c>
      <c r="B50" s="4" t="s">
        <v>184</v>
      </c>
      <c r="C50" s="12" t="s">
        <v>14</v>
      </c>
      <c r="D50" s="4" t="s">
        <v>11</v>
      </c>
      <c r="E50" t="s">
        <v>183</v>
      </c>
      <c r="F50" s="12" t="s">
        <v>189</v>
      </c>
      <c r="G50" s="12" t="s">
        <v>216</v>
      </c>
      <c r="H50" s="12" t="s">
        <v>244</v>
      </c>
      <c r="I50" s="12" t="s">
        <v>285</v>
      </c>
      <c r="J50" s="12" t="s">
        <v>314</v>
      </c>
      <c r="K50" s="12" t="s">
        <v>327</v>
      </c>
      <c r="L50">
        <v>7</v>
      </c>
      <c r="M50" t="s">
        <v>184</v>
      </c>
      <c r="N50" t="s">
        <v>14</v>
      </c>
      <c r="O50" t="s">
        <v>11</v>
      </c>
      <c r="P50" t="s">
        <v>24</v>
      </c>
      <c r="Q50">
        <v>44.8</v>
      </c>
      <c r="R50">
        <v>34.299999999999997</v>
      </c>
      <c r="S50">
        <v>78</v>
      </c>
      <c r="T50">
        <v>53.67</v>
      </c>
      <c r="U50">
        <v>76.510000000000005</v>
      </c>
      <c r="V50">
        <v>81.55</v>
      </c>
    </row>
    <row r="51" spans="1:22" x14ac:dyDescent="0.2">
      <c r="A51" s="4">
        <v>7</v>
      </c>
      <c r="B51" s="4" t="s">
        <v>185</v>
      </c>
      <c r="C51" s="12" t="s">
        <v>14</v>
      </c>
      <c r="D51" s="4" t="s">
        <v>11</v>
      </c>
      <c r="E51" t="s">
        <v>183</v>
      </c>
      <c r="F51" s="12" t="s">
        <v>196</v>
      </c>
      <c r="G51" s="12" t="s">
        <v>217</v>
      </c>
      <c r="H51" s="12" t="s">
        <v>245</v>
      </c>
      <c r="I51" s="12" t="s">
        <v>286</v>
      </c>
      <c r="J51" s="12" t="s">
        <v>315</v>
      </c>
      <c r="K51" s="12" t="s">
        <v>327</v>
      </c>
      <c r="L51">
        <v>7</v>
      </c>
      <c r="M51" t="s">
        <v>185</v>
      </c>
      <c r="N51" t="s">
        <v>14</v>
      </c>
      <c r="O51" t="s">
        <v>11</v>
      </c>
      <c r="P51" t="s">
        <v>24</v>
      </c>
      <c r="Q51">
        <v>8.1</v>
      </c>
      <c r="R51">
        <v>24.8</v>
      </c>
      <c r="S51">
        <v>102</v>
      </c>
      <c r="T51">
        <v>64.5</v>
      </c>
      <c r="U51">
        <v>84.14</v>
      </c>
      <c r="V51">
        <v>81.55</v>
      </c>
    </row>
    <row r="52" spans="1:22" s="60" customFormat="1" x14ac:dyDescent="0.2">
      <c r="A52" s="58">
        <v>7</v>
      </c>
      <c r="B52" s="58" t="s">
        <v>186</v>
      </c>
      <c r="C52" s="59" t="s">
        <v>14</v>
      </c>
      <c r="D52" s="58" t="s">
        <v>11</v>
      </c>
      <c r="E52" s="60" t="s">
        <v>183</v>
      </c>
      <c r="F52" s="59" t="s">
        <v>197</v>
      </c>
      <c r="G52" s="59" t="s">
        <v>218</v>
      </c>
      <c r="H52" s="59" t="s">
        <v>248</v>
      </c>
      <c r="I52" s="59" t="s">
        <v>287</v>
      </c>
      <c r="J52" s="59" t="s">
        <v>254</v>
      </c>
      <c r="K52" s="59" t="s">
        <v>327</v>
      </c>
      <c r="L52" s="60">
        <v>7</v>
      </c>
      <c r="M52" s="60" t="s">
        <v>186</v>
      </c>
      <c r="N52" s="60" t="s">
        <v>14</v>
      </c>
      <c r="O52" s="60" t="s">
        <v>11</v>
      </c>
      <c r="P52" s="60" t="s">
        <v>24</v>
      </c>
      <c r="Q52" s="60">
        <v>28</v>
      </c>
      <c r="R52" s="60">
        <v>19.5</v>
      </c>
      <c r="S52" s="62">
        <v>82</v>
      </c>
      <c r="T52" s="60">
        <v>53.54</v>
      </c>
      <c r="U52" s="60">
        <v>20</v>
      </c>
      <c r="V52" s="60">
        <v>81.55</v>
      </c>
    </row>
    <row r="53" spans="1:22" x14ac:dyDescent="0.2">
      <c r="A53" s="4">
        <v>7</v>
      </c>
      <c r="B53" s="4" t="s">
        <v>187</v>
      </c>
      <c r="C53" s="12" t="s">
        <v>14</v>
      </c>
      <c r="D53" s="4" t="s">
        <v>11</v>
      </c>
      <c r="E53" t="s">
        <v>183</v>
      </c>
      <c r="F53" s="12" t="s">
        <v>198</v>
      </c>
      <c r="G53" s="12" t="s">
        <v>219</v>
      </c>
      <c r="H53" s="12" t="s">
        <v>247</v>
      </c>
      <c r="I53" s="12" t="s">
        <v>288</v>
      </c>
      <c r="J53" s="12" t="s">
        <v>316</v>
      </c>
      <c r="K53" s="12" t="s">
        <v>327</v>
      </c>
      <c r="L53">
        <v>7</v>
      </c>
      <c r="M53" t="s">
        <v>187</v>
      </c>
      <c r="N53" t="s">
        <v>14</v>
      </c>
      <c r="O53" t="s">
        <v>11</v>
      </c>
      <c r="P53" t="s">
        <v>24</v>
      </c>
      <c r="Q53">
        <v>19</v>
      </c>
      <c r="R53">
        <v>21.4</v>
      </c>
      <c r="S53">
        <v>90</v>
      </c>
      <c r="T53">
        <v>60.03</v>
      </c>
      <c r="U53">
        <v>39.85</v>
      </c>
      <c r="V53">
        <v>81.55</v>
      </c>
    </row>
    <row r="54" spans="1:22" x14ac:dyDescent="0.2">
      <c r="A54" s="4">
        <v>7</v>
      </c>
      <c r="B54" s="4" t="s">
        <v>184</v>
      </c>
      <c r="C54" s="12" t="s">
        <v>14</v>
      </c>
      <c r="D54" s="4" t="s">
        <v>12</v>
      </c>
      <c r="E54" t="s">
        <v>183</v>
      </c>
      <c r="G54" s="12" t="s">
        <v>220</v>
      </c>
      <c r="I54" s="12" t="s">
        <v>289</v>
      </c>
      <c r="J54" s="12" t="s">
        <v>317</v>
      </c>
      <c r="L54">
        <v>7</v>
      </c>
      <c r="M54" t="s">
        <v>184</v>
      </c>
      <c r="N54" t="s">
        <v>14</v>
      </c>
      <c r="O54" t="s">
        <v>12</v>
      </c>
      <c r="P54" t="s">
        <v>24</v>
      </c>
      <c r="Q54">
        <v>44.8</v>
      </c>
      <c r="R54">
        <v>49.8</v>
      </c>
      <c r="S54">
        <v>78</v>
      </c>
      <c r="T54">
        <v>33.049999999999997</v>
      </c>
      <c r="U54">
        <v>82.42</v>
      </c>
      <c r="V54">
        <v>81.55</v>
      </c>
    </row>
    <row r="55" spans="1:22" x14ac:dyDescent="0.2">
      <c r="A55" s="4">
        <v>7</v>
      </c>
      <c r="B55" s="4" t="s">
        <v>185</v>
      </c>
      <c r="C55" s="12" t="s">
        <v>14</v>
      </c>
      <c r="D55" s="4" t="s">
        <v>12</v>
      </c>
      <c r="E55" t="s">
        <v>183</v>
      </c>
      <c r="G55" s="12" t="s">
        <v>221</v>
      </c>
      <c r="I55" s="12" t="s">
        <v>290</v>
      </c>
      <c r="J55" s="12" t="s">
        <v>318</v>
      </c>
      <c r="L55">
        <v>7</v>
      </c>
      <c r="M55" t="s">
        <v>185</v>
      </c>
      <c r="N55" t="s">
        <v>14</v>
      </c>
      <c r="O55" t="s">
        <v>12</v>
      </c>
      <c r="P55" t="s">
        <v>24</v>
      </c>
      <c r="Q55">
        <v>8.1</v>
      </c>
      <c r="R55">
        <v>0.3</v>
      </c>
      <c r="S55">
        <v>102</v>
      </c>
      <c r="T55">
        <v>49.41</v>
      </c>
      <c r="U55">
        <v>96.32</v>
      </c>
      <c r="V55">
        <v>81.55</v>
      </c>
    </row>
    <row r="56" spans="1:22" s="60" customFormat="1" x14ac:dyDescent="0.2">
      <c r="A56" s="58">
        <v>7</v>
      </c>
      <c r="B56" s="58" t="s">
        <v>186</v>
      </c>
      <c r="C56" s="59" t="s">
        <v>14</v>
      </c>
      <c r="D56" s="58" t="s">
        <v>12</v>
      </c>
      <c r="E56" s="60" t="s">
        <v>183</v>
      </c>
      <c r="G56" s="59" t="s">
        <v>222</v>
      </c>
      <c r="H56" s="61"/>
      <c r="I56" s="59" t="s">
        <v>291</v>
      </c>
      <c r="J56" s="59" t="s">
        <v>254</v>
      </c>
      <c r="K56" s="61"/>
      <c r="L56" s="60">
        <v>7</v>
      </c>
      <c r="M56" s="60" t="s">
        <v>186</v>
      </c>
      <c r="N56" s="60" t="s">
        <v>14</v>
      </c>
      <c r="O56" s="60" t="s">
        <v>12</v>
      </c>
      <c r="P56" s="60" t="s">
        <v>24</v>
      </c>
      <c r="Q56" s="60">
        <v>28</v>
      </c>
      <c r="R56" s="60">
        <v>32.1</v>
      </c>
      <c r="S56" s="62">
        <v>82</v>
      </c>
      <c r="T56" s="60">
        <v>37.97</v>
      </c>
      <c r="U56" s="60">
        <v>20</v>
      </c>
      <c r="V56" s="60">
        <v>81.55</v>
      </c>
    </row>
    <row r="57" spans="1:22" x14ac:dyDescent="0.2">
      <c r="A57" s="4">
        <v>7</v>
      </c>
      <c r="B57" s="4" t="s">
        <v>187</v>
      </c>
      <c r="C57" s="12" t="s">
        <v>14</v>
      </c>
      <c r="D57" s="4" t="s">
        <v>12</v>
      </c>
      <c r="E57" t="s">
        <v>183</v>
      </c>
      <c r="G57" s="12" t="s">
        <v>223</v>
      </c>
      <c r="I57" s="12" t="s">
        <v>292</v>
      </c>
      <c r="J57" s="12" t="s">
        <v>319</v>
      </c>
      <c r="L57">
        <v>7</v>
      </c>
      <c r="M57" t="s">
        <v>187</v>
      </c>
      <c r="N57" t="s">
        <v>14</v>
      </c>
      <c r="O57" t="s">
        <v>12</v>
      </c>
      <c r="P57" t="s">
        <v>24</v>
      </c>
      <c r="Q57">
        <v>19</v>
      </c>
      <c r="R57">
        <v>17.899999999999999</v>
      </c>
      <c r="S57">
        <v>90</v>
      </c>
      <c r="T57">
        <v>39.1</v>
      </c>
      <c r="U57">
        <v>53.1</v>
      </c>
      <c r="V57">
        <v>81.55</v>
      </c>
    </row>
    <row r="58" spans="1:22" x14ac:dyDescent="0.2">
      <c r="A58" s="4">
        <v>7</v>
      </c>
      <c r="B58" s="4" t="s">
        <v>184</v>
      </c>
      <c r="C58" s="12" t="s">
        <v>15</v>
      </c>
      <c r="D58" s="4" t="s">
        <v>11</v>
      </c>
      <c r="E58" t="s">
        <v>183</v>
      </c>
      <c r="F58" s="12" t="s">
        <v>190</v>
      </c>
      <c r="G58" s="12" t="s">
        <v>224</v>
      </c>
      <c r="H58" s="12" t="s">
        <v>249</v>
      </c>
      <c r="I58" s="12" t="s">
        <v>293</v>
      </c>
      <c r="J58" s="12" t="s">
        <v>314</v>
      </c>
      <c r="K58" s="12" t="s">
        <v>328</v>
      </c>
      <c r="L58">
        <v>7</v>
      </c>
      <c r="M58" t="s">
        <v>184</v>
      </c>
      <c r="N58" t="s">
        <v>15</v>
      </c>
      <c r="O58" t="s">
        <v>11</v>
      </c>
      <c r="P58" t="s">
        <v>24</v>
      </c>
      <c r="Q58">
        <v>40.200000000000003</v>
      </c>
      <c r="R58">
        <v>36.4</v>
      </c>
      <c r="S58">
        <v>105</v>
      </c>
      <c r="T58">
        <v>48.17</v>
      </c>
      <c r="U58">
        <v>76.510000000000005</v>
      </c>
      <c r="V58">
        <v>95.32</v>
      </c>
    </row>
    <row r="59" spans="1:22" x14ac:dyDescent="0.2">
      <c r="A59" s="4">
        <v>7</v>
      </c>
      <c r="B59" s="4" t="s">
        <v>185</v>
      </c>
      <c r="C59" s="12" t="s">
        <v>15</v>
      </c>
      <c r="D59" s="4" t="s">
        <v>11</v>
      </c>
      <c r="E59" t="s">
        <v>183</v>
      </c>
      <c r="F59" s="12" t="s">
        <v>199</v>
      </c>
      <c r="G59" s="12" t="s">
        <v>225</v>
      </c>
      <c r="H59" s="12" t="s">
        <v>250</v>
      </c>
      <c r="I59" s="12" t="s">
        <v>294</v>
      </c>
      <c r="J59" s="12" t="s">
        <v>315</v>
      </c>
      <c r="K59" s="12" t="s">
        <v>328</v>
      </c>
      <c r="L59">
        <v>7</v>
      </c>
      <c r="M59" t="s">
        <v>185</v>
      </c>
      <c r="N59" t="s">
        <v>15</v>
      </c>
      <c r="O59" t="s">
        <v>11</v>
      </c>
      <c r="P59" t="s">
        <v>24</v>
      </c>
      <c r="Q59">
        <v>6.3</v>
      </c>
      <c r="R59">
        <v>18.3</v>
      </c>
      <c r="S59">
        <v>137</v>
      </c>
      <c r="T59">
        <v>58.59</v>
      </c>
      <c r="U59">
        <v>84.14</v>
      </c>
      <c r="V59">
        <v>95.32</v>
      </c>
    </row>
    <row r="60" spans="1:22" s="60" customFormat="1" x14ac:dyDescent="0.2">
      <c r="A60" s="58">
        <v>7</v>
      </c>
      <c r="B60" s="58" t="s">
        <v>186</v>
      </c>
      <c r="C60" s="59" t="s">
        <v>15</v>
      </c>
      <c r="D60" s="58" t="s">
        <v>11</v>
      </c>
      <c r="E60" s="60" t="s">
        <v>183</v>
      </c>
      <c r="F60" s="59" t="s">
        <v>200</v>
      </c>
      <c r="G60" s="59" t="s">
        <v>226</v>
      </c>
      <c r="H60" s="59" t="s">
        <v>251</v>
      </c>
      <c r="I60" s="59" t="s">
        <v>295</v>
      </c>
      <c r="J60" s="59" t="s">
        <v>254</v>
      </c>
      <c r="K60" s="59" t="s">
        <v>328</v>
      </c>
      <c r="L60" s="60">
        <v>7</v>
      </c>
      <c r="M60" s="60" t="s">
        <v>186</v>
      </c>
      <c r="N60" s="60" t="s">
        <v>15</v>
      </c>
      <c r="O60" s="60" t="s">
        <v>11</v>
      </c>
      <c r="P60" s="60" t="s">
        <v>24</v>
      </c>
      <c r="Q60" s="60">
        <v>36.700000000000003</v>
      </c>
      <c r="R60" s="60">
        <v>23.4</v>
      </c>
      <c r="S60" s="62">
        <v>91</v>
      </c>
      <c r="T60" s="60">
        <v>48.24</v>
      </c>
      <c r="U60" s="60">
        <v>20</v>
      </c>
      <c r="V60" s="60">
        <v>95.32</v>
      </c>
    </row>
    <row r="61" spans="1:22" x14ac:dyDescent="0.2">
      <c r="A61" s="4">
        <v>7</v>
      </c>
      <c r="B61" s="4" t="s">
        <v>187</v>
      </c>
      <c r="C61" s="12" t="s">
        <v>15</v>
      </c>
      <c r="D61" s="4" t="s">
        <v>11</v>
      </c>
      <c r="E61" t="s">
        <v>183</v>
      </c>
      <c r="F61" s="12" t="s">
        <v>201</v>
      </c>
      <c r="G61" s="12" t="s">
        <v>227</v>
      </c>
      <c r="H61" s="12" t="s">
        <v>252</v>
      </c>
      <c r="I61" s="12" t="s">
        <v>296</v>
      </c>
      <c r="J61" s="12" t="s">
        <v>316</v>
      </c>
      <c r="K61" s="12" t="s">
        <v>328</v>
      </c>
      <c r="L61">
        <v>7</v>
      </c>
      <c r="M61" t="s">
        <v>187</v>
      </c>
      <c r="N61" t="s">
        <v>15</v>
      </c>
      <c r="O61" t="s">
        <v>11</v>
      </c>
      <c r="P61" t="s">
        <v>24</v>
      </c>
      <c r="Q61">
        <v>16.8</v>
      </c>
      <c r="R61">
        <v>21.9</v>
      </c>
      <c r="S61">
        <v>120</v>
      </c>
      <c r="T61">
        <v>53.49</v>
      </c>
      <c r="U61">
        <v>39.85</v>
      </c>
      <c r="V61">
        <v>95.32</v>
      </c>
    </row>
    <row r="62" spans="1:22" x14ac:dyDescent="0.2">
      <c r="A62" s="4">
        <v>7</v>
      </c>
      <c r="B62" s="4" t="s">
        <v>184</v>
      </c>
      <c r="C62" s="12" t="s">
        <v>15</v>
      </c>
      <c r="D62" s="4" t="s">
        <v>12</v>
      </c>
      <c r="E62" t="s">
        <v>183</v>
      </c>
      <c r="G62" s="12" t="s">
        <v>228</v>
      </c>
      <c r="I62" s="12" t="s">
        <v>297</v>
      </c>
      <c r="J62" s="12" t="s">
        <v>317</v>
      </c>
      <c r="L62">
        <v>7</v>
      </c>
      <c r="M62" t="s">
        <v>184</v>
      </c>
      <c r="N62" t="s">
        <v>15</v>
      </c>
      <c r="O62" t="s">
        <v>12</v>
      </c>
      <c r="P62" t="s">
        <v>24</v>
      </c>
      <c r="Q62">
        <v>40.200000000000003</v>
      </c>
      <c r="R62">
        <v>42.2</v>
      </c>
      <c r="S62">
        <v>105</v>
      </c>
      <c r="T62">
        <v>32.54</v>
      </c>
      <c r="U62">
        <v>82.42</v>
      </c>
      <c r="V62">
        <v>95.32</v>
      </c>
    </row>
    <row r="63" spans="1:22" x14ac:dyDescent="0.2">
      <c r="A63" s="4">
        <v>7</v>
      </c>
      <c r="B63" s="4" t="s">
        <v>185</v>
      </c>
      <c r="C63" s="12" t="s">
        <v>15</v>
      </c>
      <c r="D63" s="4" t="s">
        <v>12</v>
      </c>
      <c r="E63" t="s">
        <v>183</v>
      </c>
      <c r="G63" s="12" t="s">
        <v>229</v>
      </c>
      <c r="I63" s="12" t="s">
        <v>298</v>
      </c>
      <c r="J63" s="12" t="s">
        <v>318</v>
      </c>
      <c r="L63">
        <v>7</v>
      </c>
      <c r="M63" t="s">
        <v>185</v>
      </c>
      <c r="N63" t="s">
        <v>15</v>
      </c>
      <c r="O63" t="s">
        <v>12</v>
      </c>
      <c r="P63" t="s">
        <v>24</v>
      </c>
      <c r="Q63">
        <v>6.3</v>
      </c>
      <c r="R63">
        <v>0.1</v>
      </c>
      <c r="S63">
        <v>137</v>
      </c>
      <c r="T63">
        <v>46.83</v>
      </c>
      <c r="U63">
        <v>96.32</v>
      </c>
      <c r="V63">
        <v>95.32</v>
      </c>
    </row>
    <row r="64" spans="1:22" s="56" customFormat="1" ht="15" x14ac:dyDescent="0.25">
      <c r="A64" s="54">
        <v>7</v>
      </c>
      <c r="B64" s="54" t="s">
        <v>186</v>
      </c>
      <c r="C64" s="55" t="s">
        <v>15</v>
      </c>
      <c r="D64" s="54" t="s">
        <v>12</v>
      </c>
      <c r="E64" s="56" t="s">
        <v>183</v>
      </c>
      <c r="G64" s="55" t="s">
        <v>230</v>
      </c>
      <c r="H64" s="57"/>
      <c r="I64" s="55" t="s">
        <v>299</v>
      </c>
      <c r="J64" s="55" t="s">
        <v>254</v>
      </c>
      <c r="K64" s="57"/>
      <c r="L64" s="56">
        <v>7</v>
      </c>
      <c r="M64" s="56" t="s">
        <v>186</v>
      </c>
      <c r="N64" s="56" t="s">
        <v>15</v>
      </c>
      <c r="O64" s="56" t="s">
        <v>12</v>
      </c>
      <c r="P64" s="56" t="s">
        <v>24</v>
      </c>
      <c r="Q64" s="56">
        <v>36.700000000000003</v>
      </c>
      <c r="R64" s="56">
        <v>43.7</v>
      </c>
      <c r="S64" s="63">
        <v>91</v>
      </c>
      <c r="T64" s="56">
        <v>36.869999999999997</v>
      </c>
      <c r="U64" s="56">
        <v>20</v>
      </c>
      <c r="V64" s="56">
        <v>95.32</v>
      </c>
    </row>
    <row r="65" spans="1:22" x14ac:dyDescent="0.2">
      <c r="A65" s="4">
        <v>7</v>
      </c>
      <c r="B65" s="4" t="s">
        <v>187</v>
      </c>
      <c r="C65" s="12" t="s">
        <v>15</v>
      </c>
      <c r="D65" s="4" t="s">
        <v>12</v>
      </c>
      <c r="E65" t="s">
        <v>183</v>
      </c>
      <c r="G65" s="12" t="s">
        <v>231</v>
      </c>
      <c r="I65" s="12" t="s">
        <v>300</v>
      </c>
      <c r="J65" s="12" t="s">
        <v>319</v>
      </c>
      <c r="L65">
        <v>7</v>
      </c>
      <c r="M65" t="s">
        <v>187</v>
      </c>
      <c r="N65" t="s">
        <v>15</v>
      </c>
      <c r="O65" t="s">
        <v>12</v>
      </c>
      <c r="P65" t="s">
        <v>24</v>
      </c>
      <c r="Q65">
        <v>16.8</v>
      </c>
      <c r="R65">
        <v>14.1</v>
      </c>
      <c r="S65">
        <v>120</v>
      </c>
      <c r="T65">
        <v>38.67</v>
      </c>
      <c r="U65">
        <v>53.1</v>
      </c>
      <c r="V65">
        <v>95.32</v>
      </c>
    </row>
    <row r="66" spans="1:22" x14ac:dyDescent="0.2">
      <c r="A66" s="4">
        <v>7</v>
      </c>
      <c r="B66" s="4" t="s">
        <v>184</v>
      </c>
      <c r="C66" s="12" t="s">
        <v>16</v>
      </c>
      <c r="D66" s="4" t="s">
        <v>11</v>
      </c>
      <c r="E66" t="s">
        <v>183</v>
      </c>
      <c r="F66" s="12" t="s">
        <v>191</v>
      </c>
      <c r="G66" s="12" t="s">
        <v>232</v>
      </c>
      <c r="H66" s="12" t="s">
        <v>249</v>
      </c>
      <c r="I66" s="12" t="s">
        <v>301</v>
      </c>
      <c r="J66" s="12" t="s">
        <v>320</v>
      </c>
      <c r="K66" s="12" t="s">
        <v>329</v>
      </c>
      <c r="L66">
        <v>7</v>
      </c>
      <c r="M66" t="s">
        <v>184</v>
      </c>
      <c r="N66" t="s">
        <v>16</v>
      </c>
      <c r="O66" t="s">
        <v>11</v>
      </c>
      <c r="P66" t="s">
        <v>24</v>
      </c>
      <c r="Q66">
        <v>18</v>
      </c>
      <c r="R66">
        <v>28.2</v>
      </c>
      <c r="S66">
        <v>105</v>
      </c>
      <c r="T66">
        <v>31.68</v>
      </c>
      <c r="U66">
        <v>91.1</v>
      </c>
      <c r="V66">
        <v>63.21</v>
      </c>
    </row>
    <row r="67" spans="1:22" x14ac:dyDescent="0.2">
      <c r="A67" s="4">
        <v>7</v>
      </c>
      <c r="B67" s="4" t="s">
        <v>185</v>
      </c>
      <c r="C67" s="12" t="s">
        <v>16</v>
      </c>
      <c r="D67" s="4" t="s">
        <v>11</v>
      </c>
      <c r="E67" t="s">
        <v>183</v>
      </c>
      <c r="F67" s="12" t="s">
        <v>202</v>
      </c>
      <c r="G67" s="12" t="s">
        <v>233</v>
      </c>
      <c r="H67" s="12" t="s">
        <v>253</v>
      </c>
      <c r="I67" s="12" t="s">
        <v>302</v>
      </c>
      <c r="J67" s="12" t="s">
        <v>321</v>
      </c>
      <c r="K67" s="12" t="s">
        <v>330</v>
      </c>
      <c r="L67">
        <v>7</v>
      </c>
      <c r="M67" t="s">
        <v>185</v>
      </c>
      <c r="N67" t="s">
        <v>16</v>
      </c>
      <c r="O67" t="s">
        <v>11</v>
      </c>
      <c r="P67" t="s">
        <v>24</v>
      </c>
      <c r="Q67">
        <v>30.1</v>
      </c>
      <c r="R67">
        <v>40.5</v>
      </c>
      <c r="S67">
        <v>114</v>
      </c>
      <c r="T67">
        <v>43.37</v>
      </c>
      <c r="U67">
        <v>93.54</v>
      </c>
      <c r="V67">
        <v>87.01</v>
      </c>
    </row>
    <row r="68" spans="1:22" s="56" customFormat="1" ht="15" x14ac:dyDescent="0.25">
      <c r="A68" s="54">
        <v>7</v>
      </c>
      <c r="B68" s="54" t="s">
        <v>186</v>
      </c>
      <c r="C68" s="55" t="s">
        <v>16</v>
      </c>
      <c r="D68" s="54" t="s">
        <v>11</v>
      </c>
      <c r="E68" s="56" t="s">
        <v>183</v>
      </c>
      <c r="F68" s="55" t="s">
        <v>203</v>
      </c>
      <c r="G68" s="55" t="s">
        <v>234</v>
      </c>
      <c r="H68" s="55" t="s">
        <v>254</v>
      </c>
      <c r="I68" s="55" t="s">
        <v>303</v>
      </c>
      <c r="J68" s="55" t="s">
        <v>254</v>
      </c>
      <c r="K68" s="55" t="s">
        <v>331</v>
      </c>
      <c r="L68" s="56">
        <v>7</v>
      </c>
      <c r="M68" s="56" t="s">
        <v>186</v>
      </c>
      <c r="N68" s="56" t="s">
        <v>16</v>
      </c>
      <c r="O68" s="56" t="s">
        <v>11</v>
      </c>
      <c r="P68" s="56" t="s">
        <v>24</v>
      </c>
      <c r="Q68" s="56">
        <v>24.2</v>
      </c>
      <c r="R68" s="56">
        <v>13.2</v>
      </c>
      <c r="S68" s="63">
        <v>20</v>
      </c>
      <c r="T68" s="56">
        <v>33.630000000000003</v>
      </c>
      <c r="U68" s="56">
        <v>20</v>
      </c>
      <c r="V68" s="56">
        <v>96.82</v>
      </c>
    </row>
    <row r="69" spans="1:22" x14ac:dyDescent="0.2">
      <c r="A69" s="4">
        <v>7</v>
      </c>
      <c r="B69" s="4" t="s">
        <v>187</v>
      </c>
      <c r="C69" s="12" t="s">
        <v>16</v>
      </c>
      <c r="D69" s="4" t="s">
        <v>11</v>
      </c>
      <c r="E69" t="s">
        <v>183</v>
      </c>
      <c r="F69" s="12" t="s">
        <v>204</v>
      </c>
      <c r="G69" s="12" t="s">
        <v>235</v>
      </c>
      <c r="H69" s="12" t="s">
        <v>255</v>
      </c>
      <c r="I69" s="12" t="s">
        <v>304</v>
      </c>
      <c r="J69" s="12" t="s">
        <v>322</v>
      </c>
      <c r="K69" s="12" t="s">
        <v>332</v>
      </c>
      <c r="L69">
        <v>7</v>
      </c>
      <c r="M69" t="s">
        <v>187</v>
      </c>
      <c r="N69" t="s">
        <v>16</v>
      </c>
      <c r="O69" t="s">
        <v>11</v>
      </c>
      <c r="P69" t="s">
        <v>24</v>
      </c>
      <c r="Q69">
        <v>27.7</v>
      </c>
      <c r="R69">
        <v>18.2</v>
      </c>
      <c r="S69">
        <v>75</v>
      </c>
      <c r="T69">
        <v>43</v>
      </c>
      <c r="U69">
        <v>42.22</v>
      </c>
      <c r="V69">
        <v>0</v>
      </c>
    </row>
    <row r="70" spans="1:22" x14ac:dyDescent="0.2">
      <c r="A70" s="4">
        <v>7</v>
      </c>
      <c r="B70" s="4" t="s">
        <v>184</v>
      </c>
      <c r="C70" s="12" t="s">
        <v>16</v>
      </c>
      <c r="D70" s="4" t="s">
        <v>12</v>
      </c>
      <c r="E70" t="s">
        <v>183</v>
      </c>
      <c r="G70" s="12" t="s">
        <v>236</v>
      </c>
      <c r="I70" s="12" t="s">
        <v>305</v>
      </c>
      <c r="J70" s="12" t="s">
        <v>323</v>
      </c>
      <c r="L70">
        <v>7</v>
      </c>
      <c r="M70" t="s">
        <v>184</v>
      </c>
      <c r="N70" t="s">
        <v>16</v>
      </c>
      <c r="O70" t="s">
        <v>12</v>
      </c>
      <c r="P70" t="s">
        <v>24</v>
      </c>
      <c r="Q70">
        <v>18</v>
      </c>
      <c r="R70">
        <v>14.6</v>
      </c>
      <c r="S70">
        <v>105</v>
      </c>
      <c r="T70">
        <v>16.649999999999999</v>
      </c>
      <c r="U70">
        <v>87.16</v>
      </c>
      <c r="V70">
        <v>63.21</v>
      </c>
    </row>
    <row r="71" spans="1:22" x14ac:dyDescent="0.2">
      <c r="A71" s="4">
        <v>7</v>
      </c>
      <c r="B71" s="4" t="s">
        <v>185</v>
      </c>
      <c r="C71" s="12" t="s">
        <v>16</v>
      </c>
      <c r="D71" s="4" t="s">
        <v>12</v>
      </c>
      <c r="E71" t="s">
        <v>183</v>
      </c>
      <c r="G71" s="12" t="s">
        <v>237</v>
      </c>
      <c r="I71" s="12" t="s">
        <v>306</v>
      </c>
      <c r="J71" s="12" t="s">
        <v>324</v>
      </c>
      <c r="L71">
        <v>7</v>
      </c>
      <c r="M71" t="s">
        <v>185</v>
      </c>
      <c r="N71" t="s">
        <v>16</v>
      </c>
      <c r="O71" t="s">
        <v>12</v>
      </c>
      <c r="P71" t="s">
        <v>24</v>
      </c>
      <c r="Q71">
        <v>30.1</v>
      </c>
      <c r="R71">
        <v>26.6</v>
      </c>
      <c r="S71">
        <v>114</v>
      </c>
      <c r="T71">
        <v>28.46</v>
      </c>
      <c r="U71">
        <v>100</v>
      </c>
      <c r="V71">
        <v>87.01</v>
      </c>
    </row>
    <row r="72" spans="1:22" s="56" customFormat="1" ht="15" x14ac:dyDescent="0.25">
      <c r="A72" s="54">
        <v>7</v>
      </c>
      <c r="B72" s="54" t="s">
        <v>186</v>
      </c>
      <c r="C72" s="55" t="s">
        <v>16</v>
      </c>
      <c r="D72" s="54" t="s">
        <v>12</v>
      </c>
      <c r="E72" s="56" t="s">
        <v>183</v>
      </c>
      <c r="G72" s="55" t="s">
        <v>238</v>
      </c>
      <c r="H72" s="57"/>
      <c r="I72" s="55" t="s">
        <v>307</v>
      </c>
      <c r="J72" s="55" t="s">
        <v>254</v>
      </c>
      <c r="K72" s="57"/>
      <c r="L72" s="56">
        <v>7</v>
      </c>
      <c r="M72" s="56" t="s">
        <v>186</v>
      </c>
      <c r="N72" s="56" t="s">
        <v>16</v>
      </c>
      <c r="O72" s="56" t="s">
        <v>12</v>
      </c>
      <c r="P72" s="56" t="s">
        <v>24</v>
      </c>
      <c r="Q72" s="56">
        <v>24.2</v>
      </c>
      <c r="R72" s="56">
        <v>27.9</v>
      </c>
      <c r="S72" s="63">
        <v>20</v>
      </c>
      <c r="T72" s="56">
        <v>21.02</v>
      </c>
      <c r="U72" s="56">
        <v>20</v>
      </c>
      <c r="V72" s="56">
        <v>96.82</v>
      </c>
    </row>
    <row r="73" spans="1:22" x14ac:dyDescent="0.2">
      <c r="A73" s="4">
        <v>7</v>
      </c>
      <c r="B73" s="4" t="s">
        <v>187</v>
      </c>
      <c r="C73" s="12" t="s">
        <v>16</v>
      </c>
      <c r="D73" s="4" t="s">
        <v>12</v>
      </c>
      <c r="E73" t="s">
        <v>183</v>
      </c>
      <c r="G73" s="12" t="s">
        <v>239</v>
      </c>
      <c r="I73" s="12" t="s">
        <v>308</v>
      </c>
      <c r="J73" s="12" t="s">
        <v>325</v>
      </c>
      <c r="L73">
        <v>7</v>
      </c>
      <c r="M73" t="s">
        <v>187</v>
      </c>
      <c r="N73" t="s">
        <v>16</v>
      </c>
      <c r="O73" t="s">
        <v>12</v>
      </c>
      <c r="P73" t="s">
        <v>24</v>
      </c>
      <c r="Q73">
        <v>27.7</v>
      </c>
      <c r="R73">
        <v>30.8</v>
      </c>
      <c r="S73">
        <v>75</v>
      </c>
      <c r="T73">
        <v>30.12</v>
      </c>
      <c r="U73">
        <v>58.77</v>
      </c>
      <c r="V73">
        <v>0</v>
      </c>
    </row>
    <row r="74" spans="1:22" x14ac:dyDescent="0.2">
      <c r="A74" s="4">
        <v>7</v>
      </c>
      <c r="B74" s="4" t="s">
        <v>184</v>
      </c>
      <c r="C74" s="12" t="s">
        <v>17</v>
      </c>
      <c r="D74" s="4" t="s">
        <v>11</v>
      </c>
      <c r="E74" t="s">
        <v>183</v>
      </c>
      <c r="F74" s="12" t="s">
        <v>192</v>
      </c>
      <c r="G74" s="12" t="s">
        <v>240</v>
      </c>
      <c r="H74" s="12" t="s">
        <v>249</v>
      </c>
      <c r="I74" s="12" t="s">
        <v>309</v>
      </c>
      <c r="J74" s="12" t="s">
        <v>320</v>
      </c>
      <c r="K74" s="12" t="s">
        <v>329</v>
      </c>
      <c r="L74">
        <v>7</v>
      </c>
      <c r="M74" t="s">
        <v>184</v>
      </c>
      <c r="N74" t="s">
        <v>17</v>
      </c>
      <c r="O74" t="s">
        <v>11</v>
      </c>
      <c r="P74" t="s">
        <v>24</v>
      </c>
      <c r="Q74">
        <v>20.8</v>
      </c>
      <c r="R74">
        <v>28.1</v>
      </c>
      <c r="S74">
        <v>105</v>
      </c>
      <c r="T74">
        <v>31.67</v>
      </c>
      <c r="U74">
        <v>91.1</v>
      </c>
      <c r="V74">
        <v>63.21</v>
      </c>
    </row>
    <row r="75" spans="1:22" x14ac:dyDescent="0.2">
      <c r="A75" s="4">
        <v>7</v>
      </c>
      <c r="B75" s="4" t="s">
        <v>185</v>
      </c>
      <c r="C75" s="12" t="s">
        <v>17</v>
      </c>
      <c r="D75" s="4" t="s">
        <v>11</v>
      </c>
      <c r="E75" t="s">
        <v>183</v>
      </c>
      <c r="F75" s="12" t="s">
        <v>205</v>
      </c>
      <c r="G75" s="12" t="s">
        <v>241</v>
      </c>
      <c r="H75" s="12" t="s">
        <v>245</v>
      </c>
      <c r="I75" s="12" t="s">
        <v>310</v>
      </c>
      <c r="J75" s="12" t="s">
        <v>321</v>
      </c>
      <c r="K75" s="12" t="s">
        <v>330</v>
      </c>
      <c r="L75">
        <v>7</v>
      </c>
      <c r="M75" t="s">
        <v>185</v>
      </c>
      <c r="N75" t="s">
        <v>17</v>
      </c>
      <c r="O75" t="s">
        <v>11</v>
      </c>
      <c r="P75" t="s">
        <v>24</v>
      </c>
      <c r="Q75">
        <v>31.9</v>
      </c>
      <c r="R75">
        <v>39.799999999999997</v>
      </c>
      <c r="S75">
        <v>102</v>
      </c>
      <c r="T75">
        <v>42.71</v>
      </c>
      <c r="U75">
        <v>93.54</v>
      </c>
      <c r="V75">
        <v>87.01</v>
      </c>
    </row>
    <row r="76" spans="1:22" s="56" customFormat="1" ht="15" x14ac:dyDescent="0.25">
      <c r="A76" s="54">
        <v>7</v>
      </c>
      <c r="B76" s="54" t="s">
        <v>186</v>
      </c>
      <c r="C76" s="55" t="s">
        <v>17</v>
      </c>
      <c r="D76" s="54" t="s">
        <v>11</v>
      </c>
      <c r="E76" s="56" t="s">
        <v>183</v>
      </c>
      <c r="F76" s="55" t="s">
        <v>206</v>
      </c>
      <c r="G76" s="55" t="s">
        <v>234</v>
      </c>
      <c r="H76" s="55" t="s">
        <v>254</v>
      </c>
      <c r="I76" s="55" t="s">
        <v>303</v>
      </c>
      <c r="J76" s="55" t="s">
        <v>254</v>
      </c>
      <c r="K76" s="55" t="s">
        <v>331</v>
      </c>
      <c r="L76" s="56">
        <v>7</v>
      </c>
      <c r="M76" s="56" t="s">
        <v>186</v>
      </c>
      <c r="N76" s="56" t="s">
        <v>17</v>
      </c>
      <c r="O76" s="56" t="s">
        <v>11</v>
      </c>
      <c r="P76" s="56" t="s">
        <v>24</v>
      </c>
      <c r="Q76" s="56">
        <v>20</v>
      </c>
      <c r="R76" s="56">
        <v>13.2</v>
      </c>
      <c r="S76" s="63">
        <v>20</v>
      </c>
      <c r="T76" s="56">
        <v>33.630000000000003</v>
      </c>
      <c r="U76" s="56">
        <v>20</v>
      </c>
      <c r="V76" s="56">
        <v>96.82</v>
      </c>
    </row>
    <row r="77" spans="1:22" x14ac:dyDescent="0.2">
      <c r="A77" s="4">
        <v>7</v>
      </c>
      <c r="B77" s="4" t="s">
        <v>187</v>
      </c>
      <c r="C77" s="12" t="s">
        <v>17</v>
      </c>
      <c r="D77" s="4" t="s">
        <v>11</v>
      </c>
      <c r="E77" t="s">
        <v>183</v>
      </c>
      <c r="F77" s="12" t="s">
        <v>207</v>
      </c>
      <c r="G77" s="12" t="s">
        <v>198</v>
      </c>
      <c r="H77" s="12" t="s">
        <v>255</v>
      </c>
      <c r="I77" s="12" t="s">
        <v>311</v>
      </c>
      <c r="J77" s="12" t="s">
        <v>322</v>
      </c>
      <c r="K77" s="12" t="s">
        <v>332</v>
      </c>
      <c r="L77">
        <v>7</v>
      </c>
      <c r="M77" t="s">
        <v>187</v>
      </c>
      <c r="N77" t="s">
        <v>17</v>
      </c>
      <c r="O77" t="s">
        <v>11</v>
      </c>
      <c r="P77" t="s">
        <v>24</v>
      </c>
      <c r="Q77">
        <v>27.3</v>
      </c>
      <c r="R77">
        <v>19</v>
      </c>
      <c r="S77">
        <v>75</v>
      </c>
      <c r="T77">
        <v>47.41</v>
      </c>
      <c r="U77">
        <v>42.22</v>
      </c>
      <c r="V77">
        <v>0</v>
      </c>
    </row>
    <row r="78" spans="1:22" x14ac:dyDescent="0.2">
      <c r="A78" s="4">
        <v>7</v>
      </c>
      <c r="B78" s="4" t="s">
        <v>184</v>
      </c>
      <c r="C78" s="12" t="s">
        <v>17</v>
      </c>
      <c r="D78" s="4" t="s">
        <v>12</v>
      </c>
      <c r="E78" t="s">
        <v>183</v>
      </c>
      <c r="G78" s="12" t="s">
        <v>215</v>
      </c>
      <c r="I78" s="12" t="s">
        <v>305</v>
      </c>
      <c r="J78" s="12" t="s">
        <v>323</v>
      </c>
      <c r="L78">
        <v>7</v>
      </c>
      <c r="M78" t="s">
        <v>184</v>
      </c>
      <c r="N78" t="s">
        <v>17</v>
      </c>
      <c r="O78" t="s">
        <v>12</v>
      </c>
      <c r="P78" t="s">
        <v>24</v>
      </c>
      <c r="Q78">
        <v>20.8</v>
      </c>
      <c r="R78">
        <v>13.9</v>
      </c>
      <c r="S78">
        <v>105</v>
      </c>
      <c r="T78">
        <v>16.649999999999999</v>
      </c>
      <c r="U78">
        <v>87.16</v>
      </c>
      <c r="V78">
        <v>63.21</v>
      </c>
    </row>
    <row r="79" spans="1:22" x14ac:dyDescent="0.2">
      <c r="A79" s="4">
        <v>7</v>
      </c>
      <c r="B79" s="4" t="s">
        <v>185</v>
      </c>
      <c r="C79" s="12" t="s">
        <v>17</v>
      </c>
      <c r="D79" s="4" t="s">
        <v>12</v>
      </c>
      <c r="E79" t="s">
        <v>183</v>
      </c>
      <c r="G79" s="12" t="s">
        <v>203</v>
      </c>
      <c r="I79" s="12" t="s">
        <v>312</v>
      </c>
      <c r="J79" s="12" t="s">
        <v>324</v>
      </c>
      <c r="L79">
        <v>7</v>
      </c>
      <c r="M79" t="s">
        <v>185</v>
      </c>
      <c r="N79" t="s">
        <v>17</v>
      </c>
      <c r="O79" t="s">
        <v>12</v>
      </c>
      <c r="P79" t="s">
        <v>24</v>
      </c>
      <c r="Q79">
        <v>31.9</v>
      </c>
      <c r="R79">
        <v>24.2</v>
      </c>
      <c r="S79">
        <v>102</v>
      </c>
      <c r="T79">
        <v>26.83</v>
      </c>
      <c r="U79">
        <v>100</v>
      </c>
      <c r="V79">
        <v>87.01</v>
      </c>
    </row>
    <row r="80" spans="1:22" s="56" customFormat="1" ht="15" x14ac:dyDescent="0.25">
      <c r="A80" s="54">
        <v>7</v>
      </c>
      <c r="B80" s="54" t="s">
        <v>186</v>
      </c>
      <c r="C80" s="55" t="s">
        <v>17</v>
      </c>
      <c r="D80" s="54" t="s">
        <v>12</v>
      </c>
      <c r="E80" s="56" t="s">
        <v>183</v>
      </c>
      <c r="G80" s="55" t="s">
        <v>242</v>
      </c>
      <c r="H80" s="57"/>
      <c r="I80" s="55" t="s">
        <v>307</v>
      </c>
      <c r="J80" s="55" t="s">
        <v>254</v>
      </c>
      <c r="K80" s="57"/>
      <c r="L80" s="56">
        <v>7</v>
      </c>
      <c r="M80" s="56" t="s">
        <v>186</v>
      </c>
      <c r="N80" s="56" t="s">
        <v>17</v>
      </c>
      <c r="O80" s="56" t="s">
        <v>12</v>
      </c>
      <c r="P80" s="56" t="s">
        <v>24</v>
      </c>
      <c r="Q80" s="56">
        <v>20</v>
      </c>
      <c r="R80" s="56">
        <v>26.5</v>
      </c>
      <c r="S80" s="63">
        <v>20</v>
      </c>
      <c r="T80" s="56">
        <v>21.02</v>
      </c>
      <c r="U80" s="56">
        <v>20</v>
      </c>
      <c r="V80" s="56">
        <v>96.82</v>
      </c>
    </row>
    <row r="81" spans="1:22" x14ac:dyDescent="0.2">
      <c r="A81" s="4">
        <v>7</v>
      </c>
      <c r="B81" s="4" t="s">
        <v>187</v>
      </c>
      <c r="C81" s="12" t="s">
        <v>17</v>
      </c>
      <c r="D81" s="4" t="s">
        <v>12</v>
      </c>
      <c r="E81" t="s">
        <v>183</v>
      </c>
      <c r="G81" s="12" t="s">
        <v>243</v>
      </c>
      <c r="I81" s="12" t="s">
        <v>313</v>
      </c>
      <c r="J81" s="12" t="s">
        <v>325</v>
      </c>
      <c r="L81">
        <v>7</v>
      </c>
      <c r="M81" t="s">
        <v>187</v>
      </c>
      <c r="N81" t="s">
        <v>17</v>
      </c>
      <c r="O81" t="s">
        <v>12</v>
      </c>
      <c r="P81" t="s">
        <v>24</v>
      </c>
      <c r="Q81">
        <v>27.3</v>
      </c>
      <c r="R81">
        <v>35.4</v>
      </c>
      <c r="S81">
        <v>75</v>
      </c>
      <c r="T81">
        <v>40.89</v>
      </c>
      <c r="U81">
        <v>58.77</v>
      </c>
      <c r="V8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8DB2-BDE6-4791-BC31-86CAD625E4F0}">
  <sheetPr>
    <tabColor theme="9" tint="0.79998168889431442"/>
  </sheetPr>
  <dimension ref="A1:Q66"/>
  <sheetViews>
    <sheetView workbookViewId="0">
      <selection activeCell="Q6" sqref="Q6:Q16"/>
    </sheetView>
  </sheetViews>
  <sheetFormatPr defaultRowHeight="12" x14ac:dyDescent="0.2"/>
  <cols>
    <col min="1" max="1" width="11.5" customWidth="1"/>
    <col min="2" max="2" width="9.6640625" customWidth="1"/>
    <col min="3" max="3" width="8.5" customWidth="1"/>
    <col min="4" max="4" width="9.6640625" customWidth="1"/>
    <col min="5" max="5" width="11.6640625" customWidth="1"/>
    <col min="6" max="6" width="17" customWidth="1"/>
    <col min="7" max="7" width="10.6640625" customWidth="1"/>
    <col min="8" max="8" width="12.83203125" customWidth="1"/>
    <col min="9" max="10" width="9" customWidth="1"/>
    <col min="11" max="11" width="11.33203125" customWidth="1"/>
    <col min="12" max="12" width="15.1640625" customWidth="1"/>
    <col min="13" max="13" width="12.1640625" bestFit="1" customWidth="1"/>
    <col min="14" max="16" width="11.33203125" customWidth="1"/>
    <col min="17" max="17" width="12.33203125" customWidth="1"/>
    <col min="20" max="20" width="35.1640625" customWidth="1"/>
  </cols>
  <sheetData>
    <row r="1" spans="1:17" x14ac:dyDescent="0.2">
      <c r="A1" t="s">
        <v>96</v>
      </c>
      <c r="B1">
        <v>0.7</v>
      </c>
    </row>
    <row r="2" spans="1:17" x14ac:dyDescent="0.2">
      <c r="A2" t="s">
        <v>97</v>
      </c>
      <c r="B2">
        <v>0.4</v>
      </c>
    </row>
    <row r="3" spans="1:17" x14ac:dyDescent="0.2">
      <c r="A3" t="s">
        <v>98</v>
      </c>
      <c r="B3">
        <v>0.4</v>
      </c>
    </row>
    <row r="4" spans="1:17" x14ac:dyDescent="0.2">
      <c r="A4" t="s">
        <v>99</v>
      </c>
      <c r="B4">
        <v>0.1</v>
      </c>
    </row>
    <row r="6" spans="1:17" s="1" customFormat="1" ht="27.4" customHeight="1" x14ac:dyDescent="0.2">
      <c r="A6" s="48" t="s">
        <v>0</v>
      </c>
      <c r="B6" s="48" t="s">
        <v>1</v>
      </c>
      <c r="C6" s="48" t="s">
        <v>2</v>
      </c>
      <c r="D6" s="49" t="s">
        <v>10</v>
      </c>
      <c r="E6" s="48" t="s">
        <v>81</v>
      </c>
      <c r="F6" s="48" t="s">
        <v>28</v>
      </c>
      <c r="G6" s="50" t="s">
        <v>29</v>
      </c>
      <c r="H6" s="48" t="s">
        <v>30</v>
      </c>
      <c r="I6" s="48" t="s">
        <v>37</v>
      </c>
      <c r="J6" s="48" t="s">
        <v>94</v>
      </c>
      <c r="K6" s="48" t="s">
        <v>95</v>
      </c>
      <c r="L6" s="48" t="s">
        <v>100</v>
      </c>
      <c r="M6" s="48" t="s">
        <v>101</v>
      </c>
      <c r="N6" s="48" t="s">
        <v>102</v>
      </c>
      <c r="O6" s="48" t="s">
        <v>104</v>
      </c>
      <c r="P6" s="48" t="s">
        <v>103</v>
      </c>
      <c r="Q6" s="48" t="s">
        <v>82</v>
      </c>
    </row>
    <row r="7" spans="1:17" x14ac:dyDescent="0.2">
      <c r="A7" s="4">
        <v>7</v>
      </c>
      <c r="B7" s="4" t="s">
        <v>8</v>
      </c>
      <c r="C7" s="4" t="s">
        <v>6</v>
      </c>
      <c r="D7" s="33" t="s">
        <v>11</v>
      </c>
      <c r="E7" s="23" cm="1">
        <f t="array" ref="E7">IFERROR(
   _xlfn.XLOOKUP(1,
     (MARKET_DATA!$A:$A=$A7-1)*
     (MARKET_DATA!$B:$B=$B7)*
     (MARKET_DATA!$C:$C=$C7)*
     (MARKET_DATA!$D:$D=$D7),
     MARKET_DATA!$I:$I),
   0)</f>
        <v>0</v>
      </c>
      <c r="F7" s="7">
        <f>AVERAGEIFS(MARKET_DATA!I:I,
MARKET_DATA!$A:$A,$A7-1,
MARKET_DATA!$C:$C,$C7,
MARKET_DATA!$D:$D,$D7)</f>
        <v>42.39</v>
      </c>
      <c r="G7" s="32" cm="1">
        <f t="array" ref="G7">_xlfn.XLOOKUP(1,
 (INPUTS_MASTER!$A:$A=$A7)*
 (INPUTS_MASTER!$B:$B=$B7),
 INPUTS_MASTER!$F:$F
)</f>
        <v>35</v>
      </c>
      <c r="H7" s="23" cm="1">
        <f t="array" ref="H7">_xlfn.XLOOKUP(1,
 (INPUTS_MASTER!$A:$A=$A7)*
 (INPUTS_MASTER!$B:$B=$B7)*
 (INPUTS_MASTER!$C:$C=$C7),
 INPUTS_MASTER!$H:$H
)</f>
        <v>210</v>
      </c>
      <c r="I7" s="23" cm="1">
        <f t="array" ref="I7">_xlfn.XLOOKUP(1,
 (INPUTS_MASTER!$A:$A=$A7)*
 (INPUTS_MASTER!$B:$B=$B7)*
 (INPUTS_MASTER!$C:$C=$C7),
 INPUTS_MASTER!$K:$K
)</f>
        <v>50</v>
      </c>
      <c r="J7" s="8">
        <f>+IF($D7="High",1, 0.3)</f>
        <v>1</v>
      </c>
      <c r="K7" s="8">
        <f>+IF($D7="Low",1, 0.3)</f>
        <v>0.3</v>
      </c>
      <c r="L7" s="8">
        <f>+(G7*J7 + H7*K7) * (100 - I7) / 100</f>
        <v>49</v>
      </c>
      <c r="M7" s="8">
        <f>+(1-E7/100)^$B$1</f>
        <v>1</v>
      </c>
      <c r="N7" s="8">
        <f>+(1-F7/100)^$B$2</f>
        <v>0.80204576520463799</v>
      </c>
      <c r="O7" s="8">
        <f>+$B$3*L7*M7*N7</f>
        <v>15.720096998010906</v>
      </c>
      <c r="P7" s="8">
        <f>+E7*$B$4</f>
        <v>0</v>
      </c>
      <c r="Q7" s="8">
        <f>+MIN(100, MAX(0, E7-P7+O7))</f>
        <v>15.720096998010906</v>
      </c>
    </row>
    <row r="8" spans="1:17" x14ac:dyDescent="0.2">
      <c r="A8" s="4">
        <v>7</v>
      </c>
      <c r="B8" s="4" t="s">
        <v>8</v>
      </c>
      <c r="C8" s="4" t="s">
        <v>6</v>
      </c>
      <c r="D8" s="33" t="s">
        <v>12</v>
      </c>
      <c r="E8" s="23" cm="1">
        <f t="array" ref="E8">IFERROR(
   _xlfn.XLOOKUP(1,
     (MARKET_DATA!$A:$A=$A8-1)*
     (MARKET_DATA!$B:$B=$B8)*
     (MARKET_DATA!$C:$C=$C8)*
     (MARKET_DATA!$D:$D=$D8),
     MARKET_DATA!$I:$I),
   0)</f>
        <v>0</v>
      </c>
      <c r="F8" s="7">
        <f>AVERAGEIFS(MARKET_DATA!I:I,
MARKET_DATA!$A:$A,$A8-1,
MARKET_DATA!$C:$C,$C8,
MARKET_DATA!$D:$D,$D8)</f>
        <v>28.72</v>
      </c>
      <c r="G8" s="32" cm="1">
        <f t="array" ref="G8">_xlfn.XLOOKUP(1,
 (INPUTS_MASTER!$A:$A=$A8)*
 (INPUTS_MASTER!$B:$B=$B8),
 INPUTS_MASTER!$F:$F
)</f>
        <v>35</v>
      </c>
      <c r="H8" s="23" cm="1">
        <f t="array" ref="H8">_xlfn.XLOOKUP(1,
 (INPUTS_MASTER!$A:$A=$A8)*
 (INPUTS_MASTER!$B:$B=$B8)*
 (INPUTS_MASTER!$C:$C=$C8),
 INPUTS_MASTER!$H:$H
)</f>
        <v>210</v>
      </c>
      <c r="I8" s="23" cm="1">
        <f t="array" ref="I8">_xlfn.XLOOKUP(1,
 (INPUTS_MASTER!$A:$A=$A8)*
 (INPUTS_MASTER!$B:$B=$B8)*
 (INPUTS_MASTER!$C:$C=$C8),
 INPUTS_MASTER!$K:$K
)</f>
        <v>50</v>
      </c>
      <c r="J8" s="8">
        <f t="shared" ref="J8:J16" si="0">+IF($D8="High",1, 0.3)</f>
        <v>0.3</v>
      </c>
      <c r="K8" s="8">
        <f t="shared" ref="K8:K16" si="1">+IF($D8="Low",1, 0.3)</f>
        <v>1</v>
      </c>
      <c r="L8" s="8">
        <f t="shared" ref="L8:L16" si="2">+(G8*J8 + H8*K8) * (100 - I8) / 100</f>
        <v>110.25</v>
      </c>
      <c r="M8" s="8">
        <f t="shared" ref="M8:M16" si="3">+(1-E8/100)^$B$1</f>
        <v>1</v>
      </c>
      <c r="N8" s="8">
        <f t="shared" ref="N8:N16" si="4">+(1-F8/100)^$B$2</f>
        <v>0.87334748997607414</v>
      </c>
      <c r="O8" s="8">
        <f t="shared" ref="O8:O16" si="5">+$B$3*L8*M8*N8</f>
        <v>38.514624307944871</v>
      </c>
      <c r="P8" s="8">
        <f t="shared" ref="P8:P16" si="6">+E8*$B$4</f>
        <v>0</v>
      </c>
      <c r="Q8" s="8">
        <f t="shared" ref="Q8:Q16" si="7">+MIN(100, MAX(0, E8-P8+O8))</f>
        <v>38.514624307944871</v>
      </c>
    </row>
    <row r="9" spans="1:17" x14ac:dyDescent="0.2">
      <c r="A9" s="4">
        <v>7</v>
      </c>
      <c r="B9" s="4" t="s">
        <v>8</v>
      </c>
      <c r="C9" s="4" t="s">
        <v>14</v>
      </c>
      <c r="D9" s="33" t="s">
        <v>11</v>
      </c>
      <c r="E9" s="23" cm="1">
        <f t="array" ref="E9">IFERROR(
   _xlfn.XLOOKUP(1,
     (MARKET_DATA!$A:$A=$A9-1)*
     (MARKET_DATA!$B:$B=$B9)*
     (MARKET_DATA!$C:$C=$C9)*
     (MARKET_DATA!$D:$D=$D9),
     MARKET_DATA!$I:$I),
   0)</f>
        <v>0</v>
      </c>
      <c r="F9" s="7">
        <f>AVERAGEIFS(MARKET_DATA!I:I,
MARKET_DATA!$A:$A,$A9-1,
MARKET_DATA!$C:$C,$C9,
MARKET_DATA!$D:$D,$D9)</f>
        <v>34.58</v>
      </c>
      <c r="G9" s="32" cm="1">
        <f t="array" ref="G9">_xlfn.XLOOKUP(1,
 (INPUTS_MASTER!$A:$A=$A9)*
 (INPUTS_MASTER!$B:$B=$B9),
 INPUTS_MASTER!$F:$F
)</f>
        <v>35</v>
      </c>
      <c r="H9" s="23" cm="1">
        <f t="array" ref="H9">_xlfn.XLOOKUP(1,
 (INPUTS_MASTER!$A:$A=$A9)*
 (INPUTS_MASTER!$B:$B=$B9)*
 (INPUTS_MASTER!$C:$C=$C9),
 INPUTS_MASTER!$H:$H
)</f>
        <v>102</v>
      </c>
      <c r="I9" s="23" cm="1">
        <f t="array" ref="I9">_xlfn.XLOOKUP(1,
 (INPUTS_MASTER!$A:$A=$A9)*
 (INPUTS_MASTER!$B:$B=$B9)*
 (INPUTS_MASTER!$C:$C=$C9),
 INPUTS_MASTER!$K:$K
)</f>
        <v>50</v>
      </c>
      <c r="J9" s="8">
        <f t="shared" si="0"/>
        <v>1</v>
      </c>
      <c r="K9" s="8">
        <f t="shared" si="1"/>
        <v>0.3</v>
      </c>
      <c r="L9" s="8">
        <f t="shared" si="2"/>
        <v>32.799999999999997</v>
      </c>
      <c r="M9" s="8">
        <f t="shared" si="3"/>
        <v>1</v>
      </c>
      <c r="N9" s="8">
        <f t="shared" si="4"/>
        <v>0.84388684308304762</v>
      </c>
      <c r="O9" s="8">
        <f t="shared" si="5"/>
        <v>11.071795381249585</v>
      </c>
      <c r="P9" s="8">
        <f t="shared" si="6"/>
        <v>0</v>
      </c>
      <c r="Q9" s="8">
        <f t="shared" si="7"/>
        <v>11.071795381249585</v>
      </c>
    </row>
    <row r="10" spans="1:17" x14ac:dyDescent="0.2">
      <c r="A10" s="4">
        <v>7</v>
      </c>
      <c r="B10" s="4" t="s">
        <v>8</v>
      </c>
      <c r="C10" s="4" t="s">
        <v>14</v>
      </c>
      <c r="D10" s="33" t="s">
        <v>12</v>
      </c>
      <c r="E10" s="23" cm="1">
        <f t="array" ref="E10">IFERROR(
   _xlfn.XLOOKUP(1,
     (MARKET_DATA!$A:$A=$A10-1)*
     (MARKET_DATA!$B:$B=$B10)*
     (MARKET_DATA!$C:$C=$C10)*
     (MARKET_DATA!$D:$D=$D10),
     MARKET_DATA!$I:$I),
   0)</f>
        <v>0</v>
      </c>
      <c r="F10" s="7">
        <f>AVERAGEIFS(MARKET_DATA!I:I,
MARKET_DATA!$A:$A,$A10-1,
MARKET_DATA!$C:$C,$C10,
MARKET_DATA!$D:$D,$D10)</f>
        <v>22.16</v>
      </c>
      <c r="G10" s="32" cm="1">
        <f t="array" ref="G10">_xlfn.XLOOKUP(1,
 (INPUTS_MASTER!$A:$A=$A10)*
 (INPUTS_MASTER!$B:$B=$B10),
 INPUTS_MASTER!$F:$F
)</f>
        <v>35</v>
      </c>
      <c r="H10" s="23" cm="1">
        <f t="array" ref="H10">_xlfn.XLOOKUP(1,
 (INPUTS_MASTER!$A:$A=$A10)*
 (INPUTS_MASTER!$B:$B=$B10)*
 (INPUTS_MASTER!$C:$C=$C10),
 INPUTS_MASTER!$H:$H
)</f>
        <v>102</v>
      </c>
      <c r="I10" s="23" cm="1">
        <f t="array" ref="I10">_xlfn.XLOOKUP(1,
 (INPUTS_MASTER!$A:$A=$A10)*
 (INPUTS_MASTER!$B:$B=$B10)*
 (INPUTS_MASTER!$C:$C=$C10),
 INPUTS_MASTER!$K:$K
)</f>
        <v>50</v>
      </c>
      <c r="J10" s="8">
        <f t="shared" si="0"/>
        <v>0.3</v>
      </c>
      <c r="K10" s="8">
        <f t="shared" si="1"/>
        <v>1</v>
      </c>
      <c r="L10" s="8">
        <f t="shared" si="2"/>
        <v>56.25</v>
      </c>
      <c r="M10" s="8">
        <f t="shared" si="3"/>
        <v>1</v>
      </c>
      <c r="N10" s="8">
        <f t="shared" si="4"/>
        <v>0.90465113187426749</v>
      </c>
      <c r="O10" s="8">
        <f t="shared" si="5"/>
        <v>20.35465046717102</v>
      </c>
      <c r="P10" s="8">
        <f t="shared" si="6"/>
        <v>0</v>
      </c>
      <c r="Q10" s="8">
        <f t="shared" si="7"/>
        <v>20.35465046717102</v>
      </c>
    </row>
    <row r="11" spans="1:17" x14ac:dyDescent="0.2">
      <c r="A11" s="4">
        <v>7</v>
      </c>
      <c r="B11" s="4" t="s">
        <v>8</v>
      </c>
      <c r="C11" s="4" t="s">
        <v>15</v>
      </c>
      <c r="D11" s="33" t="s">
        <v>11</v>
      </c>
      <c r="E11" s="23" cm="1">
        <f t="array" ref="E11">IFERROR(
   _xlfn.XLOOKUP(1,
     (MARKET_DATA!$A:$A=$A11-1)*
     (MARKET_DATA!$B:$B=$B11)*
     (MARKET_DATA!$C:$C=$C11)*
     (MARKET_DATA!$D:$D=$D11),
     MARKET_DATA!$I:$I),
   0)</f>
        <v>0</v>
      </c>
      <c r="F11" s="7">
        <f>AVERAGEIFS(MARKET_DATA!I:I,
MARKET_DATA!$A:$A,$A11-1,
MARKET_DATA!$C:$C,$C11,
MARKET_DATA!$D:$D,$D11)</f>
        <v>26.84</v>
      </c>
      <c r="G11" s="32" cm="1">
        <f t="array" ref="G11">_xlfn.XLOOKUP(1,
 (INPUTS_MASTER!$A:$A=$A11)*
 (INPUTS_MASTER!$B:$B=$B11),
 INPUTS_MASTER!$F:$F
)</f>
        <v>35</v>
      </c>
      <c r="H11" s="23" cm="1">
        <f t="array" ref="H11">_xlfn.XLOOKUP(1,
 (INPUTS_MASTER!$A:$A=$A11)*
 (INPUTS_MASTER!$B:$B=$B11)*
 (INPUTS_MASTER!$C:$C=$C11),
 INPUTS_MASTER!$H:$H
)</f>
        <v>82</v>
      </c>
      <c r="I11" s="23" cm="1">
        <f t="array" ref="I11">_xlfn.XLOOKUP(1,
 (INPUTS_MASTER!$A:$A=$A11)*
 (INPUTS_MASTER!$B:$B=$B11)*
 (INPUTS_MASTER!$C:$C=$C11),
 INPUTS_MASTER!$K:$K
)</f>
        <v>50</v>
      </c>
      <c r="J11" s="8">
        <f t="shared" si="0"/>
        <v>1</v>
      </c>
      <c r="K11" s="8">
        <f t="shared" si="1"/>
        <v>0.3</v>
      </c>
      <c r="L11" s="8">
        <f t="shared" si="2"/>
        <v>29.799999999999997</v>
      </c>
      <c r="M11" s="8">
        <f t="shared" si="3"/>
        <v>1</v>
      </c>
      <c r="N11" s="8">
        <f t="shared" si="4"/>
        <v>0.88248936169298575</v>
      </c>
      <c r="O11" s="8">
        <f t="shared" si="5"/>
        <v>10.519273191380391</v>
      </c>
      <c r="P11" s="8">
        <f t="shared" si="6"/>
        <v>0</v>
      </c>
      <c r="Q11" s="8">
        <f t="shared" si="7"/>
        <v>10.519273191380391</v>
      </c>
    </row>
    <row r="12" spans="1:17" x14ac:dyDescent="0.2">
      <c r="A12" s="4">
        <v>7</v>
      </c>
      <c r="B12" s="4" t="s">
        <v>8</v>
      </c>
      <c r="C12" s="4" t="s">
        <v>15</v>
      </c>
      <c r="D12" s="33" t="s">
        <v>12</v>
      </c>
      <c r="E12" s="23" cm="1">
        <f t="array" ref="E12">IFERROR(
   _xlfn.XLOOKUP(1,
     (MARKET_DATA!$A:$A=$A12-1)*
     (MARKET_DATA!$B:$B=$B12)*
     (MARKET_DATA!$C:$C=$C12)*
     (MARKET_DATA!$D:$D=$D12),
     MARKET_DATA!$I:$I),
   0)</f>
        <v>0</v>
      </c>
      <c r="F12" s="7">
        <f>AVERAGEIFS(MARKET_DATA!I:I,
MARKET_DATA!$A:$A,$A12-1,
MARKET_DATA!$C:$C,$C12,
MARKET_DATA!$D:$D,$D12)</f>
        <v>23.1</v>
      </c>
      <c r="G12" s="32" cm="1">
        <f t="array" ref="G12">_xlfn.XLOOKUP(1,
 (INPUTS_MASTER!$A:$A=$A12)*
 (INPUTS_MASTER!$B:$B=$B12),
 INPUTS_MASTER!$F:$F
)</f>
        <v>35</v>
      </c>
      <c r="H12" s="23" cm="1">
        <f t="array" ref="H12">_xlfn.XLOOKUP(1,
 (INPUTS_MASTER!$A:$A=$A12)*
 (INPUTS_MASTER!$B:$B=$B12)*
 (INPUTS_MASTER!$C:$C=$C12),
 INPUTS_MASTER!$H:$H
)</f>
        <v>82</v>
      </c>
      <c r="I12" s="23" cm="1">
        <f t="array" ref="I12">_xlfn.XLOOKUP(1,
 (INPUTS_MASTER!$A:$A=$A12)*
 (INPUTS_MASTER!$B:$B=$B12)*
 (INPUTS_MASTER!$C:$C=$C12),
 INPUTS_MASTER!$K:$K
)</f>
        <v>50</v>
      </c>
      <c r="J12" s="8">
        <f t="shared" si="0"/>
        <v>0.3</v>
      </c>
      <c r="K12" s="8">
        <f t="shared" si="1"/>
        <v>1</v>
      </c>
      <c r="L12" s="8">
        <f t="shared" si="2"/>
        <v>46.25</v>
      </c>
      <c r="M12" s="8">
        <f t="shared" si="3"/>
        <v>1</v>
      </c>
      <c r="N12" s="8">
        <f t="shared" si="4"/>
        <v>0.90026535179035938</v>
      </c>
      <c r="O12" s="8">
        <f t="shared" si="5"/>
        <v>16.654909008121649</v>
      </c>
      <c r="P12" s="8">
        <f t="shared" si="6"/>
        <v>0</v>
      </c>
      <c r="Q12" s="8">
        <f t="shared" si="7"/>
        <v>16.654909008121649</v>
      </c>
    </row>
    <row r="13" spans="1:17" x14ac:dyDescent="0.2">
      <c r="A13" s="4">
        <v>7</v>
      </c>
      <c r="B13" s="4" t="s">
        <v>8</v>
      </c>
      <c r="C13" s="4" t="s">
        <v>16</v>
      </c>
      <c r="D13" s="33" t="s">
        <v>11</v>
      </c>
      <c r="E13" s="23" cm="1">
        <f t="array" ref="E13">IFERROR(
   _xlfn.XLOOKUP(1,
     (MARKET_DATA!$A:$A=$A13-1)*
     (MARKET_DATA!$B:$B=$B13)*
     (MARKET_DATA!$C:$C=$C13)*
     (MARKET_DATA!$D:$D=$D13),
     MARKET_DATA!$I:$I),
   0)</f>
        <v>0</v>
      </c>
      <c r="F13" s="7">
        <f>AVERAGEIFS(MARKET_DATA!I:I,
MARKET_DATA!$A:$A,$A13-1,
MARKET_DATA!$C:$C,$C13,
MARKET_DATA!$D:$D,$D13)</f>
        <v>0</v>
      </c>
      <c r="G13" s="32" cm="1">
        <f t="array" ref="G13">_xlfn.XLOOKUP(1,
 (INPUTS_MASTER!$A:$A=$A13)*
 (INPUTS_MASTER!$B:$B=$B13),
 INPUTS_MASTER!$F:$F
)</f>
        <v>35</v>
      </c>
      <c r="H13" s="23" cm="1">
        <f t="array" ref="H13">_xlfn.XLOOKUP(1,
 (INPUTS_MASTER!$A:$A=$A13)*
 (INPUTS_MASTER!$B:$B=$B13)*
 (INPUTS_MASTER!$C:$C=$C13),
 INPUTS_MASTER!$H:$H
)</f>
        <v>40</v>
      </c>
      <c r="I13" s="23" cm="1">
        <f t="array" ref="I13">_xlfn.XLOOKUP(1,
 (INPUTS_MASTER!$A:$A=$A13)*
 (INPUTS_MASTER!$B:$B=$B13)*
 (INPUTS_MASTER!$C:$C=$C13),
 INPUTS_MASTER!$K:$K
)</f>
        <v>50</v>
      </c>
      <c r="J13" s="8">
        <f t="shared" si="0"/>
        <v>1</v>
      </c>
      <c r="K13" s="8">
        <f t="shared" si="1"/>
        <v>0.3</v>
      </c>
      <c r="L13" s="8">
        <f t="shared" si="2"/>
        <v>23.5</v>
      </c>
      <c r="M13" s="8">
        <f t="shared" si="3"/>
        <v>1</v>
      </c>
      <c r="N13" s="8">
        <f t="shared" si="4"/>
        <v>1</v>
      </c>
      <c r="O13" s="8">
        <f t="shared" si="5"/>
        <v>9.4</v>
      </c>
      <c r="P13" s="8">
        <f t="shared" si="6"/>
        <v>0</v>
      </c>
      <c r="Q13" s="8">
        <f t="shared" si="7"/>
        <v>9.4</v>
      </c>
    </row>
    <row r="14" spans="1:17" x14ac:dyDescent="0.2">
      <c r="A14" s="4">
        <v>7</v>
      </c>
      <c r="B14" s="4" t="s">
        <v>8</v>
      </c>
      <c r="C14" s="4" t="s">
        <v>16</v>
      </c>
      <c r="D14" s="33" t="s">
        <v>12</v>
      </c>
      <c r="E14" s="23" cm="1">
        <f t="array" ref="E14">IFERROR(
   _xlfn.XLOOKUP(1,
     (MARKET_DATA!$A:$A=$A14-1)*
     (MARKET_DATA!$B:$B=$B14)*
     (MARKET_DATA!$C:$C=$C14)*
     (MARKET_DATA!$D:$D=$D14),
     MARKET_DATA!$I:$I),
   0)</f>
        <v>0</v>
      </c>
      <c r="F14" s="7">
        <f>AVERAGEIFS(MARKET_DATA!I:I,
MARKET_DATA!$A:$A,$A14-1,
MARKET_DATA!$C:$C,$C14,
MARKET_DATA!$D:$D,$D14)</f>
        <v>0</v>
      </c>
      <c r="G14" s="32" cm="1">
        <f t="array" ref="G14">_xlfn.XLOOKUP(1,
 (INPUTS_MASTER!$A:$A=$A14)*
 (INPUTS_MASTER!$B:$B=$B14),
 INPUTS_MASTER!$F:$F
)</f>
        <v>35</v>
      </c>
      <c r="H14" s="23" cm="1">
        <f t="array" ref="H14">_xlfn.XLOOKUP(1,
 (INPUTS_MASTER!$A:$A=$A14)*
 (INPUTS_MASTER!$B:$B=$B14)*
 (INPUTS_MASTER!$C:$C=$C14),
 INPUTS_MASTER!$H:$H
)</f>
        <v>40</v>
      </c>
      <c r="I14" s="23" cm="1">
        <f t="array" ref="I14">_xlfn.XLOOKUP(1,
 (INPUTS_MASTER!$A:$A=$A14)*
 (INPUTS_MASTER!$B:$B=$B14)*
 (INPUTS_MASTER!$C:$C=$C14),
 INPUTS_MASTER!$K:$K
)</f>
        <v>50</v>
      </c>
      <c r="J14" s="8">
        <f t="shared" si="0"/>
        <v>0.3</v>
      </c>
      <c r="K14" s="8">
        <f t="shared" si="1"/>
        <v>1</v>
      </c>
      <c r="L14" s="8">
        <f t="shared" si="2"/>
        <v>25.25</v>
      </c>
      <c r="M14" s="8">
        <f t="shared" si="3"/>
        <v>1</v>
      </c>
      <c r="N14" s="8">
        <f t="shared" si="4"/>
        <v>1</v>
      </c>
      <c r="O14" s="8">
        <f t="shared" si="5"/>
        <v>10.100000000000001</v>
      </c>
      <c r="P14" s="8">
        <f t="shared" si="6"/>
        <v>0</v>
      </c>
      <c r="Q14" s="8">
        <f t="shared" si="7"/>
        <v>10.100000000000001</v>
      </c>
    </row>
    <row r="15" spans="1:17" x14ac:dyDescent="0.2">
      <c r="A15" s="4">
        <v>7</v>
      </c>
      <c r="B15" s="4" t="s">
        <v>8</v>
      </c>
      <c r="C15" s="4" t="s">
        <v>17</v>
      </c>
      <c r="D15" s="33" t="s">
        <v>11</v>
      </c>
      <c r="E15" s="23" cm="1">
        <f t="array" ref="E15">IFERROR(
   _xlfn.XLOOKUP(1,
     (MARKET_DATA!$A:$A=$A15-1)*
     (MARKET_DATA!$B:$B=$B15)*
     (MARKET_DATA!$C:$C=$C15)*
     (MARKET_DATA!$D:$D=$D15),
     MARKET_DATA!$I:$I),
   0)</f>
        <v>0</v>
      </c>
      <c r="F15" s="7">
        <f>AVERAGEIFS(MARKET_DATA!I:I,
MARKET_DATA!$A:$A,$A15-1,
MARKET_DATA!$C:$C,$C15,
MARKET_DATA!$D:$D,$D15)</f>
        <v>0</v>
      </c>
      <c r="G15" s="32" cm="1">
        <f t="array" ref="G15">_xlfn.XLOOKUP(1,
 (INPUTS_MASTER!$A:$A=$A15)*
 (INPUTS_MASTER!$B:$B=$B15),
 INPUTS_MASTER!$F:$F
)</f>
        <v>35</v>
      </c>
      <c r="H15" s="23" cm="1">
        <f t="array" ref="H15">_xlfn.XLOOKUP(1,
 (INPUTS_MASTER!$A:$A=$A15)*
 (INPUTS_MASTER!$B:$B=$B15)*
 (INPUTS_MASTER!$C:$C=$C15),
 INPUTS_MASTER!$H:$H
)</f>
        <v>40</v>
      </c>
      <c r="I15" s="23" cm="1">
        <f t="array" ref="I15">_xlfn.XLOOKUP(1,
 (INPUTS_MASTER!$A:$A=$A15)*
 (INPUTS_MASTER!$B:$B=$B15)*
 (INPUTS_MASTER!$C:$C=$C15),
 INPUTS_MASTER!$K:$K
)</f>
        <v>50</v>
      </c>
      <c r="J15" s="8">
        <f t="shared" si="0"/>
        <v>1</v>
      </c>
      <c r="K15" s="8">
        <f t="shared" si="1"/>
        <v>0.3</v>
      </c>
      <c r="L15" s="8">
        <f t="shared" si="2"/>
        <v>23.5</v>
      </c>
      <c r="M15" s="8">
        <f t="shared" si="3"/>
        <v>1</v>
      </c>
      <c r="N15" s="8">
        <f t="shared" si="4"/>
        <v>1</v>
      </c>
      <c r="O15" s="8">
        <f t="shared" si="5"/>
        <v>9.4</v>
      </c>
      <c r="P15" s="8">
        <f t="shared" si="6"/>
        <v>0</v>
      </c>
      <c r="Q15" s="8">
        <f t="shared" si="7"/>
        <v>9.4</v>
      </c>
    </row>
    <row r="16" spans="1:17" x14ac:dyDescent="0.2">
      <c r="A16" s="4">
        <v>7</v>
      </c>
      <c r="B16" s="4" t="s">
        <v>8</v>
      </c>
      <c r="C16" s="4" t="s">
        <v>17</v>
      </c>
      <c r="D16" s="33" t="s">
        <v>12</v>
      </c>
      <c r="E16" s="23" cm="1">
        <f t="array" ref="E16">IFERROR(
   _xlfn.XLOOKUP(1,
     (MARKET_DATA!$A:$A=$A16-1)*
     (MARKET_DATA!$B:$B=$B16)*
     (MARKET_DATA!$C:$C=$C16)*
     (MARKET_DATA!$D:$D=$D16),
     MARKET_DATA!$I:$I),
   0)</f>
        <v>0</v>
      </c>
      <c r="F16" s="7">
        <f>AVERAGEIFS(MARKET_DATA!I:I,
MARKET_DATA!$A:$A,$A16-1,
MARKET_DATA!$C:$C,$C16,
MARKET_DATA!$D:$D,$D16)</f>
        <v>0</v>
      </c>
      <c r="G16" s="32" cm="1">
        <f t="array" ref="G16">_xlfn.XLOOKUP(1,
 (INPUTS_MASTER!$A:$A=$A16)*
 (INPUTS_MASTER!$B:$B=$B16),
 INPUTS_MASTER!$F:$F
)</f>
        <v>35</v>
      </c>
      <c r="H16" s="23" cm="1">
        <f t="array" ref="H16">_xlfn.XLOOKUP(1,
 (INPUTS_MASTER!$A:$A=$A16)*
 (INPUTS_MASTER!$B:$B=$B16)*
 (INPUTS_MASTER!$C:$C=$C16),
 INPUTS_MASTER!$H:$H
)</f>
        <v>40</v>
      </c>
      <c r="I16" s="23" cm="1">
        <f t="array" ref="I16">_xlfn.XLOOKUP(1,
 (INPUTS_MASTER!$A:$A=$A16)*
 (INPUTS_MASTER!$B:$B=$B16)*
 (INPUTS_MASTER!$C:$C=$C16),
 INPUTS_MASTER!$K:$K
)</f>
        <v>50</v>
      </c>
      <c r="J16" s="8">
        <f t="shared" si="0"/>
        <v>0.3</v>
      </c>
      <c r="K16" s="8">
        <f t="shared" si="1"/>
        <v>1</v>
      </c>
      <c r="L16" s="8">
        <f t="shared" si="2"/>
        <v>25.25</v>
      </c>
      <c r="M16" s="8">
        <f t="shared" si="3"/>
        <v>1</v>
      </c>
      <c r="N16" s="8">
        <f t="shared" si="4"/>
        <v>1</v>
      </c>
      <c r="O16" s="8">
        <f t="shared" si="5"/>
        <v>10.100000000000001</v>
      </c>
      <c r="P16" s="8">
        <f t="shared" si="6"/>
        <v>0</v>
      </c>
      <c r="Q16" s="8">
        <f t="shared" si="7"/>
        <v>10.100000000000001</v>
      </c>
    </row>
    <row r="17" spans="1:17" x14ac:dyDescent="0.2">
      <c r="A17" s="11">
        <v>8</v>
      </c>
      <c r="B17" s="4" t="s">
        <v>8</v>
      </c>
      <c r="C17" s="4" t="s">
        <v>6</v>
      </c>
      <c r="D17" s="33" t="s">
        <v>11</v>
      </c>
      <c r="E17" s="1"/>
      <c r="G17" s="1"/>
    </row>
    <row r="18" spans="1:17" x14ac:dyDescent="0.2">
      <c r="A18" s="11">
        <v>8</v>
      </c>
      <c r="B18" s="4" t="s">
        <v>8</v>
      </c>
      <c r="C18" s="4" t="s">
        <v>6</v>
      </c>
      <c r="D18" s="33" t="s">
        <v>12</v>
      </c>
      <c r="E18" s="1"/>
    </row>
    <row r="19" spans="1:17" x14ac:dyDescent="0.2">
      <c r="A19" s="11">
        <v>8</v>
      </c>
      <c r="B19" s="4" t="s">
        <v>8</v>
      </c>
      <c r="C19" s="4" t="s">
        <v>14</v>
      </c>
      <c r="D19" s="33" t="s">
        <v>11</v>
      </c>
    </row>
    <row r="20" spans="1:17" x14ac:dyDescent="0.2">
      <c r="A20" s="11">
        <v>8</v>
      </c>
      <c r="B20" s="4" t="s">
        <v>8</v>
      </c>
      <c r="C20" s="4" t="s">
        <v>14</v>
      </c>
      <c r="D20" s="33" t="s">
        <v>12</v>
      </c>
      <c r="G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1">
        <v>8</v>
      </c>
      <c r="B21" s="4" t="s">
        <v>8</v>
      </c>
      <c r="C21" s="4" t="s">
        <v>15</v>
      </c>
      <c r="D21" s="33" t="s">
        <v>11</v>
      </c>
    </row>
    <row r="22" spans="1:17" x14ac:dyDescent="0.2">
      <c r="A22" s="11">
        <v>8</v>
      </c>
      <c r="B22" s="4" t="s">
        <v>8</v>
      </c>
      <c r="C22" s="4" t="s">
        <v>15</v>
      </c>
      <c r="D22" s="33" t="s">
        <v>12</v>
      </c>
    </row>
    <row r="23" spans="1:17" x14ac:dyDescent="0.2">
      <c r="A23" s="11">
        <v>8</v>
      </c>
      <c r="B23" s="4" t="s">
        <v>8</v>
      </c>
      <c r="C23" s="4" t="s">
        <v>16</v>
      </c>
      <c r="D23" s="33" t="s">
        <v>11</v>
      </c>
    </row>
    <row r="24" spans="1:17" x14ac:dyDescent="0.2">
      <c r="A24" s="11">
        <v>8</v>
      </c>
      <c r="B24" s="4" t="s">
        <v>8</v>
      </c>
      <c r="C24" s="4" t="s">
        <v>16</v>
      </c>
      <c r="D24" s="33" t="s">
        <v>12</v>
      </c>
    </row>
    <row r="25" spans="1:17" x14ac:dyDescent="0.2">
      <c r="A25" s="11">
        <v>8</v>
      </c>
      <c r="B25" s="4" t="s">
        <v>8</v>
      </c>
      <c r="C25" s="4" t="s">
        <v>17</v>
      </c>
      <c r="D25" s="33" t="s">
        <v>11</v>
      </c>
    </row>
    <row r="26" spans="1:17" x14ac:dyDescent="0.2">
      <c r="A26" s="11">
        <v>8</v>
      </c>
      <c r="B26" s="4" t="s">
        <v>8</v>
      </c>
      <c r="C26" s="4" t="s">
        <v>17</v>
      </c>
      <c r="D26" s="33" t="s">
        <v>12</v>
      </c>
    </row>
    <row r="27" spans="1:17" x14ac:dyDescent="0.2">
      <c r="A27" s="11">
        <v>9</v>
      </c>
      <c r="B27" s="4" t="s">
        <v>8</v>
      </c>
      <c r="C27" s="4" t="s">
        <v>6</v>
      </c>
      <c r="D27" s="33" t="s">
        <v>11</v>
      </c>
    </row>
    <row r="28" spans="1:17" x14ac:dyDescent="0.2">
      <c r="A28" s="11">
        <v>9</v>
      </c>
      <c r="B28" s="4" t="s">
        <v>8</v>
      </c>
      <c r="C28" s="4" t="s">
        <v>6</v>
      </c>
      <c r="D28" s="33" t="s">
        <v>12</v>
      </c>
    </row>
    <row r="29" spans="1:17" x14ac:dyDescent="0.2">
      <c r="A29" s="11">
        <v>9</v>
      </c>
      <c r="B29" s="4" t="s">
        <v>8</v>
      </c>
      <c r="C29" s="4" t="s">
        <v>14</v>
      </c>
      <c r="D29" s="33" t="s">
        <v>11</v>
      </c>
    </row>
    <row r="30" spans="1:17" x14ac:dyDescent="0.2">
      <c r="A30" s="11">
        <v>9</v>
      </c>
      <c r="B30" s="4" t="s">
        <v>8</v>
      </c>
      <c r="C30" s="4" t="s">
        <v>14</v>
      </c>
      <c r="D30" s="33" t="s">
        <v>12</v>
      </c>
    </row>
    <row r="31" spans="1:17" x14ac:dyDescent="0.2">
      <c r="A31" s="11">
        <v>9</v>
      </c>
      <c r="B31" s="4" t="s">
        <v>8</v>
      </c>
      <c r="C31" s="4" t="s">
        <v>15</v>
      </c>
      <c r="D31" s="33" t="s">
        <v>11</v>
      </c>
    </row>
    <row r="32" spans="1:17" x14ac:dyDescent="0.2">
      <c r="A32" s="11">
        <v>9</v>
      </c>
      <c r="B32" s="4" t="s">
        <v>8</v>
      </c>
      <c r="C32" s="4" t="s">
        <v>15</v>
      </c>
      <c r="D32" s="33" t="s">
        <v>12</v>
      </c>
    </row>
    <row r="33" spans="1:4" x14ac:dyDescent="0.2">
      <c r="A33" s="11">
        <v>9</v>
      </c>
      <c r="B33" s="4" t="s">
        <v>8</v>
      </c>
      <c r="C33" s="4" t="s">
        <v>16</v>
      </c>
      <c r="D33" s="33" t="s">
        <v>11</v>
      </c>
    </row>
    <row r="34" spans="1:4" x14ac:dyDescent="0.2">
      <c r="A34" s="11">
        <v>9</v>
      </c>
      <c r="B34" s="4" t="s">
        <v>8</v>
      </c>
      <c r="C34" s="4" t="s">
        <v>16</v>
      </c>
      <c r="D34" s="33" t="s">
        <v>12</v>
      </c>
    </row>
    <row r="35" spans="1:4" x14ac:dyDescent="0.2">
      <c r="A35" s="11">
        <v>9</v>
      </c>
      <c r="B35" s="4" t="s">
        <v>8</v>
      </c>
      <c r="C35" s="4" t="s">
        <v>17</v>
      </c>
      <c r="D35" s="33" t="s">
        <v>11</v>
      </c>
    </row>
    <row r="36" spans="1:4" x14ac:dyDescent="0.2">
      <c r="A36" s="11">
        <v>9</v>
      </c>
      <c r="B36" s="4" t="s">
        <v>8</v>
      </c>
      <c r="C36" s="4" t="s">
        <v>17</v>
      </c>
      <c r="D36" s="33" t="s">
        <v>12</v>
      </c>
    </row>
    <row r="37" spans="1:4" x14ac:dyDescent="0.2">
      <c r="A37" s="11">
        <v>10</v>
      </c>
      <c r="B37" s="4" t="s">
        <v>8</v>
      </c>
      <c r="C37" s="4" t="s">
        <v>6</v>
      </c>
      <c r="D37" s="33" t="s">
        <v>11</v>
      </c>
    </row>
    <row r="38" spans="1:4" x14ac:dyDescent="0.2">
      <c r="A38" s="11">
        <v>10</v>
      </c>
      <c r="B38" s="4" t="s">
        <v>8</v>
      </c>
      <c r="C38" s="4" t="s">
        <v>6</v>
      </c>
      <c r="D38" s="33" t="s">
        <v>12</v>
      </c>
    </row>
    <row r="39" spans="1:4" x14ac:dyDescent="0.2">
      <c r="A39" s="11">
        <v>10</v>
      </c>
      <c r="B39" s="4" t="s">
        <v>8</v>
      </c>
      <c r="C39" s="4" t="s">
        <v>14</v>
      </c>
      <c r="D39" s="33" t="s">
        <v>11</v>
      </c>
    </row>
    <row r="40" spans="1:4" x14ac:dyDescent="0.2">
      <c r="A40" s="11">
        <v>10</v>
      </c>
      <c r="B40" s="4" t="s">
        <v>8</v>
      </c>
      <c r="C40" s="4" t="s">
        <v>14</v>
      </c>
      <c r="D40" s="33" t="s">
        <v>12</v>
      </c>
    </row>
    <row r="41" spans="1:4" x14ac:dyDescent="0.2">
      <c r="A41" s="11">
        <v>10</v>
      </c>
      <c r="B41" s="4" t="s">
        <v>8</v>
      </c>
      <c r="C41" s="4" t="s">
        <v>15</v>
      </c>
      <c r="D41" s="33" t="s">
        <v>11</v>
      </c>
    </row>
    <row r="42" spans="1:4" x14ac:dyDescent="0.2">
      <c r="A42" s="11">
        <v>10</v>
      </c>
      <c r="B42" s="4" t="s">
        <v>8</v>
      </c>
      <c r="C42" s="4" t="s">
        <v>15</v>
      </c>
      <c r="D42" s="33" t="s">
        <v>12</v>
      </c>
    </row>
    <row r="43" spans="1:4" x14ac:dyDescent="0.2">
      <c r="A43" s="11">
        <v>10</v>
      </c>
      <c r="B43" s="4" t="s">
        <v>8</v>
      </c>
      <c r="C43" s="4" t="s">
        <v>16</v>
      </c>
      <c r="D43" s="33" t="s">
        <v>11</v>
      </c>
    </row>
    <row r="44" spans="1:4" x14ac:dyDescent="0.2">
      <c r="A44" s="11">
        <v>10</v>
      </c>
      <c r="B44" s="4" t="s">
        <v>8</v>
      </c>
      <c r="C44" s="4" t="s">
        <v>16</v>
      </c>
      <c r="D44" s="33" t="s">
        <v>12</v>
      </c>
    </row>
    <row r="45" spans="1:4" x14ac:dyDescent="0.2">
      <c r="A45" s="11">
        <v>10</v>
      </c>
      <c r="B45" s="4" t="s">
        <v>8</v>
      </c>
      <c r="C45" s="4" t="s">
        <v>17</v>
      </c>
      <c r="D45" s="33" t="s">
        <v>11</v>
      </c>
    </row>
    <row r="46" spans="1:4" x14ac:dyDescent="0.2">
      <c r="A46" s="11">
        <v>10</v>
      </c>
      <c r="B46" s="4" t="s">
        <v>8</v>
      </c>
      <c r="C46" s="4" t="s">
        <v>17</v>
      </c>
      <c r="D46" s="33" t="s">
        <v>12</v>
      </c>
    </row>
    <row r="47" spans="1:4" x14ac:dyDescent="0.2">
      <c r="A47" s="11">
        <v>11</v>
      </c>
      <c r="B47" s="4" t="s">
        <v>8</v>
      </c>
      <c r="C47" s="4" t="s">
        <v>6</v>
      </c>
      <c r="D47" s="33" t="s">
        <v>11</v>
      </c>
    </row>
    <row r="48" spans="1:4" x14ac:dyDescent="0.2">
      <c r="A48" s="11">
        <v>11</v>
      </c>
      <c r="B48" s="4" t="s">
        <v>8</v>
      </c>
      <c r="C48" s="4" t="s">
        <v>6</v>
      </c>
      <c r="D48" s="33" t="s">
        <v>12</v>
      </c>
    </row>
    <row r="49" spans="1:4" x14ac:dyDescent="0.2">
      <c r="A49" s="11">
        <v>11</v>
      </c>
      <c r="B49" s="4" t="s">
        <v>8</v>
      </c>
      <c r="C49" s="4" t="s">
        <v>14</v>
      </c>
      <c r="D49" s="33" t="s">
        <v>11</v>
      </c>
    </row>
    <row r="50" spans="1:4" x14ac:dyDescent="0.2">
      <c r="A50" s="11">
        <v>11</v>
      </c>
      <c r="B50" s="4" t="s">
        <v>8</v>
      </c>
      <c r="C50" s="4" t="s">
        <v>14</v>
      </c>
      <c r="D50" s="33" t="s">
        <v>12</v>
      </c>
    </row>
    <row r="51" spans="1:4" x14ac:dyDescent="0.2">
      <c r="A51" s="11">
        <v>11</v>
      </c>
      <c r="B51" s="4" t="s">
        <v>8</v>
      </c>
      <c r="C51" s="4" t="s">
        <v>15</v>
      </c>
      <c r="D51" s="33" t="s">
        <v>11</v>
      </c>
    </row>
    <row r="52" spans="1:4" x14ac:dyDescent="0.2">
      <c r="A52" s="11">
        <v>11</v>
      </c>
      <c r="B52" s="4" t="s">
        <v>8</v>
      </c>
      <c r="C52" s="4" t="s">
        <v>15</v>
      </c>
      <c r="D52" s="33" t="s">
        <v>12</v>
      </c>
    </row>
    <row r="53" spans="1:4" x14ac:dyDescent="0.2">
      <c r="A53" s="11">
        <v>11</v>
      </c>
      <c r="B53" s="4" t="s">
        <v>8</v>
      </c>
      <c r="C53" s="4" t="s">
        <v>16</v>
      </c>
      <c r="D53" s="33" t="s">
        <v>11</v>
      </c>
    </row>
    <row r="54" spans="1:4" x14ac:dyDescent="0.2">
      <c r="A54" s="11">
        <v>11</v>
      </c>
      <c r="B54" s="4" t="s">
        <v>8</v>
      </c>
      <c r="C54" s="4" t="s">
        <v>16</v>
      </c>
      <c r="D54" s="33" t="s">
        <v>12</v>
      </c>
    </row>
    <row r="55" spans="1:4" x14ac:dyDescent="0.2">
      <c r="A55" s="11">
        <v>11</v>
      </c>
      <c r="B55" s="4" t="s">
        <v>8</v>
      </c>
      <c r="C55" s="4" t="s">
        <v>17</v>
      </c>
      <c r="D55" s="33" t="s">
        <v>11</v>
      </c>
    </row>
    <row r="56" spans="1:4" x14ac:dyDescent="0.2">
      <c r="A56" s="11">
        <v>11</v>
      </c>
      <c r="B56" s="4" t="s">
        <v>8</v>
      </c>
      <c r="C56" s="4" t="s">
        <v>17</v>
      </c>
      <c r="D56" s="33" t="s">
        <v>12</v>
      </c>
    </row>
    <row r="57" spans="1:4" x14ac:dyDescent="0.2">
      <c r="A57" s="11">
        <v>12</v>
      </c>
      <c r="B57" s="4" t="s">
        <v>8</v>
      </c>
      <c r="C57" s="4" t="s">
        <v>6</v>
      </c>
      <c r="D57" s="33" t="s">
        <v>11</v>
      </c>
    </row>
    <row r="58" spans="1:4" x14ac:dyDescent="0.2">
      <c r="A58" s="11">
        <v>12</v>
      </c>
      <c r="B58" s="4" t="s">
        <v>8</v>
      </c>
      <c r="C58" s="4" t="s">
        <v>6</v>
      </c>
      <c r="D58" s="33" t="s">
        <v>12</v>
      </c>
    </row>
    <row r="59" spans="1:4" x14ac:dyDescent="0.2">
      <c r="A59" s="11">
        <v>12</v>
      </c>
      <c r="B59" s="4" t="s">
        <v>8</v>
      </c>
      <c r="C59" s="4" t="s">
        <v>14</v>
      </c>
      <c r="D59" s="33" t="s">
        <v>11</v>
      </c>
    </row>
    <row r="60" spans="1:4" x14ac:dyDescent="0.2">
      <c r="A60" s="11">
        <v>12</v>
      </c>
      <c r="B60" s="4" t="s">
        <v>8</v>
      </c>
      <c r="C60" s="4" t="s">
        <v>14</v>
      </c>
      <c r="D60" s="33" t="s">
        <v>12</v>
      </c>
    </row>
    <row r="61" spans="1:4" x14ac:dyDescent="0.2">
      <c r="A61" s="11">
        <v>12</v>
      </c>
      <c r="B61" s="4" t="s">
        <v>8</v>
      </c>
      <c r="C61" s="4" t="s">
        <v>15</v>
      </c>
      <c r="D61" s="33" t="s">
        <v>11</v>
      </c>
    </row>
    <row r="62" spans="1:4" x14ac:dyDescent="0.2">
      <c r="A62" s="11">
        <v>12</v>
      </c>
      <c r="B62" s="4" t="s">
        <v>8</v>
      </c>
      <c r="C62" s="4" t="s">
        <v>15</v>
      </c>
      <c r="D62" s="33" t="s">
        <v>12</v>
      </c>
    </row>
    <row r="63" spans="1:4" x14ac:dyDescent="0.2">
      <c r="A63" s="11">
        <v>12</v>
      </c>
      <c r="B63" s="4" t="s">
        <v>8</v>
      </c>
      <c r="C63" s="4" t="s">
        <v>16</v>
      </c>
      <c r="D63" s="33" t="s">
        <v>11</v>
      </c>
    </row>
    <row r="64" spans="1:4" x14ac:dyDescent="0.2">
      <c r="A64" s="11">
        <v>12</v>
      </c>
      <c r="B64" s="4" t="s">
        <v>8</v>
      </c>
      <c r="C64" s="4" t="s">
        <v>16</v>
      </c>
      <c r="D64" s="33" t="s">
        <v>12</v>
      </c>
    </row>
    <row r="65" spans="1:4" x14ac:dyDescent="0.2">
      <c r="A65" s="11">
        <v>12</v>
      </c>
      <c r="B65" s="4" t="s">
        <v>8</v>
      </c>
      <c r="C65" s="4" t="s">
        <v>17</v>
      </c>
      <c r="D65" s="33" t="s">
        <v>11</v>
      </c>
    </row>
    <row r="66" spans="1:4" x14ac:dyDescent="0.2">
      <c r="A66" s="11">
        <v>12</v>
      </c>
      <c r="B66" s="4" t="s">
        <v>8</v>
      </c>
      <c r="C66" s="4" t="s">
        <v>17</v>
      </c>
      <c r="D66" s="33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B3D2-3D31-4881-99A8-E79F61F9A7BE}">
  <sheetPr>
    <tabColor theme="9" tint="0.79998168889431442"/>
  </sheetPr>
  <dimension ref="A3:R68"/>
  <sheetViews>
    <sheetView zoomScaleNormal="100" workbookViewId="0">
      <selection activeCell="R8" sqref="R8:R18"/>
    </sheetView>
  </sheetViews>
  <sheetFormatPr defaultColWidth="11.1640625" defaultRowHeight="12" x14ac:dyDescent="0.2"/>
  <cols>
    <col min="1" max="3" width="11.1640625" style="11"/>
    <col min="4" max="4" width="11.6640625" style="11" customWidth="1"/>
    <col min="5" max="5" width="13.83203125" style="11" customWidth="1"/>
    <col min="6" max="6" width="12" style="11" customWidth="1"/>
    <col min="7" max="7" width="9" style="11" customWidth="1"/>
    <col min="8" max="8" width="10.83203125" style="11" customWidth="1"/>
    <col min="9" max="9" width="11.33203125" style="11" customWidth="1"/>
    <col min="10" max="12" width="10" style="11" customWidth="1"/>
    <col min="13" max="13" width="19.5" style="11" customWidth="1"/>
    <col min="14" max="14" width="16.1640625" style="11" customWidth="1"/>
    <col min="15" max="15" width="16.5" style="11" customWidth="1"/>
    <col min="16" max="16" width="15.33203125" style="11" customWidth="1"/>
    <col min="17" max="17" width="10" style="11" customWidth="1"/>
    <col min="18" max="18" width="14.5" style="11" customWidth="1"/>
    <col min="19" max="20" width="11.1640625" style="11"/>
    <col min="21" max="21" width="30.5" style="11" customWidth="1"/>
    <col min="22" max="16384" width="11.1640625" style="11"/>
  </cols>
  <sheetData>
    <row r="3" spans="1:18" x14ac:dyDescent="0.2">
      <c r="A3" s="11" t="s">
        <v>103</v>
      </c>
      <c r="B3" s="11">
        <v>0.05</v>
      </c>
    </row>
    <row r="4" spans="1:18" x14ac:dyDescent="0.2">
      <c r="A4" t="s">
        <v>141</v>
      </c>
      <c r="B4" s="11">
        <v>0.05</v>
      </c>
    </row>
    <row r="5" spans="1:18" x14ac:dyDescent="0.2">
      <c r="A5" t="s">
        <v>142</v>
      </c>
      <c r="B5" s="11">
        <v>1.2</v>
      </c>
    </row>
    <row r="6" spans="1:18" x14ac:dyDescent="0.2">
      <c r="A6"/>
    </row>
    <row r="7" spans="1:18" x14ac:dyDescent="0.2">
      <c r="A7"/>
    </row>
    <row r="8" spans="1:18" s="1" customFormat="1" ht="36" x14ac:dyDescent="0.2">
      <c r="A8" s="48" t="s">
        <v>0</v>
      </c>
      <c r="B8" s="48" t="s">
        <v>1</v>
      </c>
      <c r="C8" s="48" t="s">
        <v>2</v>
      </c>
      <c r="D8" s="48" t="s">
        <v>10</v>
      </c>
      <c r="E8" s="48" t="s">
        <v>41</v>
      </c>
      <c r="F8" s="48" t="s">
        <v>107</v>
      </c>
      <c r="G8" s="48" t="s">
        <v>136</v>
      </c>
      <c r="H8" s="48" t="s">
        <v>29</v>
      </c>
      <c r="I8" s="48" t="s">
        <v>30</v>
      </c>
      <c r="J8" s="48" t="s">
        <v>37</v>
      </c>
      <c r="K8" s="48" t="s">
        <v>94</v>
      </c>
      <c r="L8" s="48" t="s">
        <v>95</v>
      </c>
      <c r="M8" s="48" t="s">
        <v>137</v>
      </c>
      <c r="N8" s="48" t="s">
        <v>138</v>
      </c>
      <c r="O8" s="48" t="s">
        <v>139</v>
      </c>
      <c r="P8" s="48" t="s">
        <v>140</v>
      </c>
      <c r="Q8" s="48" t="s">
        <v>143</v>
      </c>
      <c r="R8" s="48" t="s">
        <v>45</v>
      </c>
    </row>
    <row r="9" spans="1:18" x14ac:dyDescent="0.2">
      <c r="A9" s="4">
        <v>7</v>
      </c>
      <c r="B9" s="4" t="s">
        <v>8</v>
      </c>
      <c r="C9" s="4" t="s">
        <v>6</v>
      </c>
      <c r="D9" s="33" t="s">
        <v>11</v>
      </c>
      <c r="E9" s="36" cm="1">
        <f t="array" ref="E9">IFERROR(
   _xlfn.XLOOKUP(1,
     (MARKET_DATA!$A:$A=$A9-1)*
     (MARKET_DATA!$B:$B=$B9)*
     (MARKET_DATA!$C:$C=$C9)*
     (MARKET_DATA!$D:$D=$D9),
     MARKET_DATA!$J:$J),
   0)</f>
        <v>0</v>
      </c>
      <c r="F9" s="31" cm="1">
        <f t="array" ref="F9">IFERROR(
   _xlfn.XLOOKUP(1,
     (MARKET_DATA!$A:$A=$A9-1)*
     (MARKET_DATA!$B:$B=$B9)*
     (MARKET_DATA!$C:$C=$C9)*
     (MARKET_DATA!$D:$D=$D9),
     MARKET_DATA!$I:$I),
   0)</f>
        <v>0</v>
      </c>
      <c r="G9" s="31">
        <f>20+SUMIFS(
    INDEX(INNOVATION!$G:$H,,MATCH($D9,{"High";"Low"},0)),
   INNOVATION!$J:$J, "&gt;="&amp;$A9)</f>
        <v>25</v>
      </c>
      <c r="H9" s="23" cm="1">
        <f t="array" ref="H9">_xlfn.XLOOKUP(1,
 (INPUTS_MASTER!$A:$A=$A9)*
 (INPUTS_MASTER!$B:$B=$B9),
 INPUTS_MASTER!$F:$F
)</f>
        <v>35</v>
      </c>
      <c r="I9" s="23" cm="1">
        <f t="array" ref="I9">_xlfn.XLOOKUP(1,
 (INPUTS_MASTER!$A:$A=$A9)*
 (INPUTS_MASTER!$B:$B=$B9)*
 (INPUTS_MASTER!$C:$C=$C9),
 INPUTS_MASTER!$H:$H
)</f>
        <v>210</v>
      </c>
      <c r="J9" s="23" cm="1">
        <f t="array" ref="J9">_xlfn.XLOOKUP(1,
 (INPUTS_MASTER!$A:$A=$A9)*
 (INPUTS_MASTER!$B:$B=$B9)*
 (INPUTS_MASTER!$C:$C=$C9),
 INPUTS_MASTER!$K:$K
)</f>
        <v>50</v>
      </c>
      <c r="K9" s="8">
        <f>+IF($D9="High",1, 0.3)</f>
        <v>1</v>
      </c>
      <c r="L9" s="8">
        <f>+IF($D9="Low",1, 0.3)</f>
        <v>0.3</v>
      </c>
      <c r="M9">
        <f>+E9 * (1 - $B$3)</f>
        <v>0</v>
      </c>
      <c r="N9" s="8">
        <f>+MAX(G9, M9)</f>
        <v>25</v>
      </c>
      <c r="O9" s="8">
        <f>+(H9*K9 + I9*L9) * J9/100</f>
        <v>49</v>
      </c>
      <c r="P9" s="8">
        <f>+$B$4 * O9 * (1 - N9/100) * (F9/100)</f>
        <v>0</v>
      </c>
      <c r="Q9" s="8">
        <f>+IF(D9="High",$B$5, 1)</f>
        <v>1.2</v>
      </c>
      <c r="R9" s="8">
        <f>+MIN(100, (N9 + P9) * Q9)</f>
        <v>30</v>
      </c>
    </row>
    <row r="10" spans="1:18" x14ac:dyDescent="0.2">
      <c r="A10" s="4">
        <v>7</v>
      </c>
      <c r="B10" s="4" t="s">
        <v>8</v>
      </c>
      <c r="C10" s="4" t="s">
        <v>6</v>
      </c>
      <c r="D10" s="33" t="s">
        <v>12</v>
      </c>
      <c r="E10" s="36" cm="1">
        <f t="array" ref="E10">IFERROR(
   _xlfn.XLOOKUP(1,
     (MARKET_DATA!$A:$A=$A10-1)*
     (MARKET_DATA!$B:$B=$B10)*
     (MARKET_DATA!$C:$C=$C10)*
     (MARKET_DATA!$D:$D=$D10),
     MARKET_DATA!$J:$J),
   0)</f>
        <v>0</v>
      </c>
      <c r="F10" s="31" cm="1">
        <f t="array" ref="F10">IFERROR(
   _xlfn.XLOOKUP(1,
     (MARKET_DATA!$A:$A=$A10-1)*
     (MARKET_DATA!$B:$B=$B10)*
     (MARKET_DATA!$C:$C=$C10)*
     (MARKET_DATA!$D:$D=$D10),
     MARKET_DATA!$I:$I),
   0)</f>
        <v>0</v>
      </c>
      <c r="G10" s="31">
        <f>20+SUMIFS(
    INDEX(INNOVATION!$G:$H,,MATCH($D10,{"High";"Low"},0)),
   INNOVATION!$J:$J, "&gt;="&amp;$A10)</f>
        <v>23</v>
      </c>
      <c r="H10" s="23" cm="1">
        <f t="array" ref="H10">_xlfn.XLOOKUP(1,
 (INPUTS_MASTER!$A:$A=$A10)*
 (INPUTS_MASTER!$B:$B=$B10),
 INPUTS_MASTER!$F:$F
)</f>
        <v>35</v>
      </c>
      <c r="I10" s="23" cm="1">
        <f t="array" ref="I10">_xlfn.XLOOKUP(1,
 (INPUTS_MASTER!$A:$A=$A10)*
 (INPUTS_MASTER!$B:$B=$B10)*
 (INPUTS_MASTER!$C:$C=$C10),
 INPUTS_MASTER!$H:$H
)</f>
        <v>210</v>
      </c>
      <c r="J10" s="23" cm="1">
        <f t="array" ref="J10">_xlfn.XLOOKUP(1,
 (INPUTS_MASTER!$A:$A=$A10)*
 (INPUTS_MASTER!$B:$B=$B10)*
 (INPUTS_MASTER!$C:$C=$C10),
 INPUTS_MASTER!$K:$K
)</f>
        <v>50</v>
      </c>
      <c r="K10" s="8">
        <f t="shared" ref="K10:K18" si="0">+IF($D10="High",1, 0.3)</f>
        <v>0.3</v>
      </c>
      <c r="L10" s="8">
        <f t="shared" ref="L10:L18" si="1">+IF($D10="Low",1, 0.3)</f>
        <v>1</v>
      </c>
      <c r="M10">
        <f t="shared" ref="M10:M18" si="2">+E10 * (1 - $B$3)</f>
        <v>0</v>
      </c>
      <c r="N10" s="8">
        <f t="shared" ref="N10:N18" si="3">+MAX(G10, M10)</f>
        <v>23</v>
      </c>
      <c r="O10" s="8">
        <f t="shared" ref="O10:O18" si="4">+(H10*K10 + I10*L10) * J10/100</f>
        <v>110.25</v>
      </c>
      <c r="P10" s="8">
        <f t="shared" ref="P10:P18" si="5">+$B$4 * O10 * (1 - N10/100) * (F10/100)</f>
        <v>0</v>
      </c>
      <c r="Q10" s="8">
        <f t="shared" ref="Q10:Q18" si="6">+IF(D10="High",$B$5, 1)</f>
        <v>1</v>
      </c>
      <c r="R10" s="8">
        <f t="shared" ref="R10:R18" si="7">+MIN(100, (N10 + P10) * Q10)</f>
        <v>23</v>
      </c>
    </row>
    <row r="11" spans="1:18" x14ac:dyDescent="0.2">
      <c r="A11" s="4">
        <v>7</v>
      </c>
      <c r="B11" s="4" t="s">
        <v>8</v>
      </c>
      <c r="C11" s="4" t="s">
        <v>14</v>
      </c>
      <c r="D11" s="33" t="s">
        <v>11</v>
      </c>
      <c r="E11" s="36" cm="1">
        <f t="array" ref="E11">IFERROR(
   _xlfn.XLOOKUP(1,
     (MARKET_DATA!$A:$A=$A11-1)*
     (MARKET_DATA!$B:$B=$B11)*
     (MARKET_DATA!$C:$C=$C11)*
     (MARKET_DATA!$D:$D=$D11),
     MARKET_DATA!$J:$J),
   0)</f>
        <v>0</v>
      </c>
      <c r="F11" s="31" cm="1">
        <f t="array" ref="F11">IFERROR(
   _xlfn.XLOOKUP(1,
     (MARKET_DATA!$A:$A=$A11-1)*
     (MARKET_DATA!$B:$B=$B11)*
     (MARKET_DATA!$C:$C=$C11)*
     (MARKET_DATA!$D:$D=$D11),
     MARKET_DATA!$I:$I),
   0)</f>
        <v>0</v>
      </c>
      <c r="G11" s="31">
        <f>20+SUMIFS(
    INDEX(INNOVATION!$G:$H,,MATCH($D11,{"High";"Low"},0)),
   INNOVATION!$J:$J, "&gt;="&amp;$A11)</f>
        <v>25</v>
      </c>
      <c r="H11" s="23" cm="1">
        <f t="array" ref="H11">_xlfn.XLOOKUP(1,
 (INPUTS_MASTER!$A:$A=$A11)*
 (INPUTS_MASTER!$B:$B=$B11),
 INPUTS_MASTER!$F:$F
)</f>
        <v>35</v>
      </c>
      <c r="I11" s="23" cm="1">
        <f t="array" ref="I11">_xlfn.XLOOKUP(1,
 (INPUTS_MASTER!$A:$A=$A11)*
 (INPUTS_MASTER!$B:$B=$B11)*
 (INPUTS_MASTER!$C:$C=$C11),
 INPUTS_MASTER!$H:$H
)</f>
        <v>102</v>
      </c>
      <c r="J11" s="23" cm="1">
        <f t="array" ref="J11">_xlfn.XLOOKUP(1,
 (INPUTS_MASTER!$A:$A=$A11)*
 (INPUTS_MASTER!$B:$B=$B11)*
 (INPUTS_MASTER!$C:$C=$C11),
 INPUTS_MASTER!$K:$K
)</f>
        <v>50</v>
      </c>
      <c r="K11" s="8">
        <f t="shared" si="0"/>
        <v>1</v>
      </c>
      <c r="L11" s="8">
        <f t="shared" si="1"/>
        <v>0.3</v>
      </c>
      <c r="M11">
        <f t="shared" si="2"/>
        <v>0</v>
      </c>
      <c r="N11" s="8">
        <f t="shared" si="3"/>
        <v>25</v>
      </c>
      <c r="O11" s="8">
        <f t="shared" si="4"/>
        <v>32.799999999999997</v>
      </c>
      <c r="P11" s="8">
        <f t="shared" si="5"/>
        <v>0</v>
      </c>
      <c r="Q11" s="8">
        <f t="shared" si="6"/>
        <v>1.2</v>
      </c>
      <c r="R11" s="8">
        <f t="shared" si="7"/>
        <v>30</v>
      </c>
    </row>
    <row r="12" spans="1:18" x14ac:dyDescent="0.2">
      <c r="A12" s="4">
        <v>7</v>
      </c>
      <c r="B12" s="4" t="s">
        <v>8</v>
      </c>
      <c r="C12" s="4" t="s">
        <v>14</v>
      </c>
      <c r="D12" s="33" t="s">
        <v>12</v>
      </c>
      <c r="E12" s="36" cm="1">
        <f t="array" ref="E12">IFERROR(
   _xlfn.XLOOKUP(1,
     (MARKET_DATA!$A:$A=$A12-1)*
     (MARKET_DATA!$B:$B=$B12)*
     (MARKET_DATA!$C:$C=$C12)*
     (MARKET_DATA!$D:$D=$D12),
     MARKET_DATA!$J:$J),
   0)</f>
        <v>0</v>
      </c>
      <c r="F12" s="31" cm="1">
        <f t="array" ref="F12">IFERROR(
   _xlfn.XLOOKUP(1,
     (MARKET_DATA!$A:$A=$A12-1)*
     (MARKET_DATA!$B:$B=$B12)*
     (MARKET_DATA!$C:$C=$C12)*
     (MARKET_DATA!$D:$D=$D12),
     MARKET_DATA!$I:$I),
   0)</f>
        <v>0</v>
      </c>
      <c r="G12" s="31">
        <f>20+SUMIFS(
    INDEX(INNOVATION!$G:$H,,MATCH($D12,{"High";"Low"},0)),
   INNOVATION!$J:$J, "&gt;="&amp;$A12)</f>
        <v>23</v>
      </c>
      <c r="H12" s="23" cm="1">
        <f t="array" ref="H12">_xlfn.XLOOKUP(1,
 (INPUTS_MASTER!$A:$A=$A12)*
 (INPUTS_MASTER!$B:$B=$B12),
 INPUTS_MASTER!$F:$F
)</f>
        <v>35</v>
      </c>
      <c r="I12" s="23" cm="1">
        <f t="array" ref="I12">_xlfn.XLOOKUP(1,
 (INPUTS_MASTER!$A:$A=$A12)*
 (INPUTS_MASTER!$B:$B=$B12)*
 (INPUTS_MASTER!$C:$C=$C12),
 INPUTS_MASTER!$H:$H
)</f>
        <v>102</v>
      </c>
      <c r="J12" s="23" cm="1">
        <f t="array" ref="J12">_xlfn.XLOOKUP(1,
 (INPUTS_MASTER!$A:$A=$A12)*
 (INPUTS_MASTER!$B:$B=$B12)*
 (INPUTS_MASTER!$C:$C=$C12),
 INPUTS_MASTER!$K:$K
)</f>
        <v>50</v>
      </c>
      <c r="K12" s="8">
        <f t="shared" si="0"/>
        <v>0.3</v>
      </c>
      <c r="L12" s="8">
        <f t="shared" si="1"/>
        <v>1</v>
      </c>
      <c r="M12">
        <f t="shared" si="2"/>
        <v>0</v>
      </c>
      <c r="N12" s="8">
        <f t="shared" si="3"/>
        <v>23</v>
      </c>
      <c r="O12" s="8">
        <f t="shared" si="4"/>
        <v>56.25</v>
      </c>
      <c r="P12" s="8">
        <f t="shared" si="5"/>
        <v>0</v>
      </c>
      <c r="Q12" s="8">
        <f t="shared" si="6"/>
        <v>1</v>
      </c>
      <c r="R12" s="8">
        <f t="shared" si="7"/>
        <v>23</v>
      </c>
    </row>
    <row r="13" spans="1:18" x14ac:dyDescent="0.2">
      <c r="A13" s="4">
        <v>7</v>
      </c>
      <c r="B13" s="4" t="s">
        <v>8</v>
      </c>
      <c r="C13" s="4" t="s">
        <v>15</v>
      </c>
      <c r="D13" s="33" t="s">
        <v>11</v>
      </c>
      <c r="E13" s="36" cm="1">
        <f t="array" ref="E13">IFERROR(
   _xlfn.XLOOKUP(1,
     (MARKET_DATA!$A:$A=$A13-1)*
     (MARKET_DATA!$B:$B=$B13)*
     (MARKET_DATA!$C:$C=$C13)*
     (MARKET_DATA!$D:$D=$D13),
     MARKET_DATA!$J:$J),
   0)</f>
        <v>0</v>
      </c>
      <c r="F13" s="31" cm="1">
        <f t="array" ref="F13">IFERROR(
   _xlfn.XLOOKUP(1,
     (MARKET_DATA!$A:$A=$A13-1)*
     (MARKET_DATA!$B:$B=$B13)*
     (MARKET_DATA!$C:$C=$C13)*
     (MARKET_DATA!$D:$D=$D13),
     MARKET_DATA!$I:$I),
   0)</f>
        <v>0</v>
      </c>
      <c r="G13" s="31">
        <f>20+SUMIFS(
    INDEX(INNOVATION!$G:$H,,MATCH($D13,{"High";"Low"},0)),
   INNOVATION!$J:$J, "&gt;="&amp;$A13)</f>
        <v>25</v>
      </c>
      <c r="H13" s="23" cm="1">
        <f t="array" ref="H13">_xlfn.XLOOKUP(1,
 (INPUTS_MASTER!$A:$A=$A13)*
 (INPUTS_MASTER!$B:$B=$B13),
 INPUTS_MASTER!$F:$F
)</f>
        <v>35</v>
      </c>
      <c r="I13" s="23" cm="1">
        <f t="array" ref="I13">_xlfn.XLOOKUP(1,
 (INPUTS_MASTER!$A:$A=$A13)*
 (INPUTS_MASTER!$B:$B=$B13)*
 (INPUTS_MASTER!$C:$C=$C13),
 INPUTS_MASTER!$H:$H
)</f>
        <v>82</v>
      </c>
      <c r="J13" s="23" cm="1">
        <f t="array" ref="J13">_xlfn.XLOOKUP(1,
 (INPUTS_MASTER!$A:$A=$A13)*
 (INPUTS_MASTER!$B:$B=$B13)*
 (INPUTS_MASTER!$C:$C=$C13),
 INPUTS_MASTER!$K:$K
)</f>
        <v>50</v>
      </c>
      <c r="K13" s="8">
        <f t="shared" si="0"/>
        <v>1</v>
      </c>
      <c r="L13" s="8">
        <f t="shared" si="1"/>
        <v>0.3</v>
      </c>
      <c r="M13">
        <f t="shared" si="2"/>
        <v>0</v>
      </c>
      <c r="N13" s="8">
        <f t="shared" si="3"/>
        <v>25</v>
      </c>
      <c r="O13" s="8">
        <f t="shared" si="4"/>
        <v>29.799999999999997</v>
      </c>
      <c r="P13" s="8">
        <f t="shared" si="5"/>
        <v>0</v>
      </c>
      <c r="Q13" s="8">
        <f t="shared" si="6"/>
        <v>1.2</v>
      </c>
      <c r="R13" s="8">
        <f t="shared" si="7"/>
        <v>30</v>
      </c>
    </row>
    <row r="14" spans="1:18" x14ac:dyDescent="0.2">
      <c r="A14" s="4">
        <v>7</v>
      </c>
      <c r="B14" s="4" t="s">
        <v>8</v>
      </c>
      <c r="C14" s="4" t="s">
        <v>15</v>
      </c>
      <c r="D14" s="33" t="s">
        <v>12</v>
      </c>
      <c r="E14" s="36" cm="1">
        <f t="array" ref="E14">IFERROR(
   _xlfn.XLOOKUP(1,
     (MARKET_DATA!$A:$A=$A14-1)*
     (MARKET_DATA!$B:$B=$B14)*
     (MARKET_DATA!$C:$C=$C14)*
     (MARKET_DATA!$D:$D=$D14),
     MARKET_DATA!$J:$J),
   0)</f>
        <v>0</v>
      </c>
      <c r="F14" s="31" cm="1">
        <f t="array" ref="F14">IFERROR(
   _xlfn.XLOOKUP(1,
     (MARKET_DATA!$A:$A=$A14-1)*
     (MARKET_DATA!$B:$B=$B14)*
     (MARKET_DATA!$C:$C=$C14)*
     (MARKET_DATA!$D:$D=$D14),
     MARKET_DATA!$I:$I),
   0)</f>
        <v>0</v>
      </c>
      <c r="G14" s="31">
        <f>20+SUMIFS(
    INDEX(INNOVATION!$G:$H,,MATCH($D14,{"High";"Low"},0)),
   INNOVATION!$J:$J, "&gt;="&amp;$A14)</f>
        <v>23</v>
      </c>
      <c r="H14" s="23" cm="1">
        <f t="array" ref="H14">_xlfn.XLOOKUP(1,
 (INPUTS_MASTER!$A:$A=$A14)*
 (INPUTS_MASTER!$B:$B=$B14),
 INPUTS_MASTER!$F:$F
)</f>
        <v>35</v>
      </c>
      <c r="I14" s="23" cm="1">
        <f t="array" ref="I14">_xlfn.XLOOKUP(1,
 (INPUTS_MASTER!$A:$A=$A14)*
 (INPUTS_MASTER!$B:$B=$B14)*
 (INPUTS_MASTER!$C:$C=$C14),
 INPUTS_MASTER!$H:$H
)</f>
        <v>82</v>
      </c>
      <c r="J14" s="23" cm="1">
        <f t="array" ref="J14">_xlfn.XLOOKUP(1,
 (INPUTS_MASTER!$A:$A=$A14)*
 (INPUTS_MASTER!$B:$B=$B14)*
 (INPUTS_MASTER!$C:$C=$C14),
 INPUTS_MASTER!$K:$K
)</f>
        <v>50</v>
      </c>
      <c r="K14" s="8">
        <f t="shared" si="0"/>
        <v>0.3</v>
      </c>
      <c r="L14" s="8">
        <f t="shared" si="1"/>
        <v>1</v>
      </c>
      <c r="M14">
        <f t="shared" si="2"/>
        <v>0</v>
      </c>
      <c r="N14" s="8">
        <f t="shared" si="3"/>
        <v>23</v>
      </c>
      <c r="O14" s="8">
        <f t="shared" si="4"/>
        <v>46.25</v>
      </c>
      <c r="P14" s="8">
        <f t="shared" si="5"/>
        <v>0</v>
      </c>
      <c r="Q14" s="8">
        <f t="shared" si="6"/>
        <v>1</v>
      </c>
      <c r="R14" s="8">
        <f t="shared" si="7"/>
        <v>23</v>
      </c>
    </row>
    <row r="15" spans="1:18" x14ac:dyDescent="0.2">
      <c r="A15" s="4">
        <v>7</v>
      </c>
      <c r="B15" s="4" t="s">
        <v>8</v>
      </c>
      <c r="C15" s="4" t="s">
        <v>16</v>
      </c>
      <c r="D15" s="33" t="s">
        <v>11</v>
      </c>
      <c r="E15" s="36" cm="1">
        <f t="array" ref="E15">IFERROR(
   _xlfn.XLOOKUP(1,
     (MARKET_DATA!$A:$A=$A15-1)*
     (MARKET_DATA!$B:$B=$B15)*
     (MARKET_DATA!$C:$C=$C15)*
     (MARKET_DATA!$D:$D=$D15),
     MARKET_DATA!$J:$J),
   0)</f>
        <v>0</v>
      </c>
      <c r="F15" s="31" cm="1">
        <f t="array" ref="F15">IFERROR(
   _xlfn.XLOOKUP(1,
     (MARKET_DATA!$A:$A=$A15-1)*
     (MARKET_DATA!$B:$B=$B15)*
     (MARKET_DATA!$C:$C=$C15)*
     (MARKET_DATA!$D:$D=$D15),
     MARKET_DATA!$I:$I),
   0)</f>
        <v>0</v>
      </c>
      <c r="G15" s="31">
        <f>20+SUMIFS(
    INDEX(INNOVATION!$G:$H,,MATCH($D15,{"High";"Low"},0)),
   INNOVATION!$J:$J, "&gt;="&amp;$A15)</f>
        <v>25</v>
      </c>
      <c r="H15" s="23" cm="1">
        <f t="array" ref="H15">_xlfn.XLOOKUP(1,
 (INPUTS_MASTER!$A:$A=$A15)*
 (INPUTS_MASTER!$B:$B=$B15),
 INPUTS_MASTER!$F:$F
)</f>
        <v>35</v>
      </c>
      <c r="I15" s="23" cm="1">
        <f t="array" ref="I15">_xlfn.XLOOKUP(1,
 (INPUTS_MASTER!$A:$A=$A15)*
 (INPUTS_MASTER!$B:$B=$B15)*
 (INPUTS_MASTER!$C:$C=$C15),
 INPUTS_MASTER!$H:$H
)</f>
        <v>40</v>
      </c>
      <c r="J15" s="23" cm="1">
        <f t="array" ref="J15">_xlfn.XLOOKUP(1,
 (INPUTS_MASTER!$A:$A=$A15)*
 (INPUTS_MASTER!$B:$B=$B15)*
 (INPUTS_MASTER!$C:$C=$C15),
 INPUTS_MASTER!$K:$K
)</f>
        <v>50</v>
      </c>
      <c r="K15" s="8">
        <f t="shared" si="0"/>
        <v>1</v>
      </c>
      <c r="L15" s="8">
        <f t="shared" si="1"/>
        <v>0.3</v>
      </c>
      <c r="M15">
        <f t="shared" si="2"/>
        <v>0</v>
      </c>
      <c r="N15" s="8">
        <f t="shared" si="3"/>
        <v>25</v>
      </c>
      <c r="O15" s="8">
        <f t="shared" si="4"/>
        <v>23.5</v>
      </c>
      <c r="P15" s="8">
        <f t="shared" si="5"/>
        <v>0</v>
      </c>
      <c r="Q15" s="8">
        <f t="shared" si="6"/>
        <v>1.2</v>
      </c>
      <c r="R15" s="8">
        <f t="shared" si="7"/>
        <v>30</v>
      </c>
    </row>
    <row r="16" spans="1:18" x14ac:dyDescent="0.2">
      <c r="A16" s="4">
        <v>7</v>
      </c>
      <c r="B16" s="4" t="s">
        <v>8</v>
      </c>
      <c r="C16" s="4" t="s">
        <v>16</v>
      </c>
      <c r="D16" s="33" t="s">
        <v>12</v>
      </c>
      <c r="E16" s="36" cm="1">
        <f t="array" ref="E16">IFERROR(
   _xlfn.XLOOKUP(1,
     (MARKET_DATA!$A:$A=$A16-1)*
     (MARKET_DATA!$B:$B=$B16)*
     (MARKET_DATA!$C:$C=$C16)*
     (MARKET_DATA!$D:$D=$D16),
     MARKET_DATA!$J:$J),
   0)</f>
        <v>0</v>
      </c>
      <c r="F16" s="31" cm="1">
        <f t="array" ref="F16">IFERROR(
   _xlfn.XLOOKUP(1,
     (MARKET_DATA!$A:$A=$A16-1)*
     (MARKET_DATA!$B:$B=$B16)*
     (MARKET_DATA!$C:$C=$C16)*
     (MARKET_DATA!$D:$D=$D16),
     MARKET_DATA!$I:$I),
   0)</f>
        <v>0</v>
      </c>
      <c r="G16" s="31">
        <f>20+SUMIFS(
    INDEX(INNOVATION!$G:$H,,MATCH($D16,{"High";"Low"},0)),
   INNOVATION!$J:$J, "&gt;="&amp;$A16)</f>
        <v>23</v>
      </c>
      <c r="H16" s="23" cm="1">
        <f t="array" ref="H16">_xlfn.XLOOKUP(1,
 (INPUTS_MASTER!$A:$A=$A16)*
 (INPUTS_MASTER!$B:$B=$B16),
 INPUTS_MASTER!$F:$F
)</f>
        <v>35</v>
      </c>
      <c r="I16" s="23" cm="1">
        <f t="array" ref="I16">_xlfn.XLOOKUP(1,
 (INPUTS_MASTER!$A:$A=$A16)*
 (INPUTS_MASTER!$B:$B=$B16)*
 (INPUTS_MASTER!$C:$C=$C16),
 INPUTS_MASTER!$H:$H
)</f>
        <v>40</v>
      </c>
      <c r="J16" s="23" cm="1">
        <f t="array" ref="J16">_xlfn.XLOOKUP(1,
 (INPUTS_MASTER!$A:$A=$A16)*
 (INPUTS_MASTER!$B:$B=$B16)*
 (INPUTS_MASTER!$C:$C=$C16),
 INPUTS_MASTER!$K:$K
)</f>
        <v>50</v>
      </c>
      <c r="K16" s="8">
        <f t="shared" si="0"/>
        <v>0.3</v>
      </c>
      <c r="L16" s="8">
        <f t="shared" si="1"/>
        <v>1</v>
      </c>
      <c r="M16">
        <f t="shared" si="2"/>
        <v>0</v>
      </c>
      <c r="N16" s="8">
        <f t="shared" si="3"/>
        <v>23</v>
      </c>
      <c r="O16" s="8">
        <f t="shared" si="4"/>
        <v>25.25</v>
      </c>
      <c r="P16" s="8">
        <f t="shared" si="5"/>
        <v>0</v>
      </c>
      <c r="Q16" s="8">
        <f t="shared" si="6"/>
        <v>1</v>
      </c>
      <c r="R16" s="8">
        <f t="shared" si="7"/>
        <v>23</v>
      </c>
    </row>
    <row r="17" spans="1:18" x14ac:dyDescent="0.2">
      <c r="A17" s="4">
        <v>7</v>
      </c>
      <c r="B17" s="4" t="s">
        <v>8</v>
      </c>
      <c r="C17" s="4" t="s">
        <v>17</v>
      </c>
      <c r="D17" s="33" t="s">
        <v>11</v>
      </c>
      <c r="E17" s="36" cm="1">
        <f t="array" ref="E17">IFERROR(
   _xlfn.XLOOKUP(1,
     (MARKET_DATA!$A:$A=$A17-1)*
     (MARKET_DATA!$B:$B=$B17)*
     (MARKET_DATA!$C:$C=$C17)*
     (MARKET_DATA!$D:$D=$D17),
     MARKET_DATA!$J:$J),
   0)</f>
        <v>0</v>
      </c>
      <c r="F17" s="31" cm="1">
        <f t="array" ref="F17">IFERROR(
   _xlfn.XLOOKUP(1,
     (MARKET_DATA!$A:$A=$A17-1)*
     (MARKET_DATA!$B:$B=$B17)*
     (MARKET_DATA!$C:$C=$C17)*
     (MARKET_DATA!$D:$D=$D17),
     MARKET_DATA!$I:$I),
   0)</f>
        <v>0</v>
      </c>
      <c r="G17" s="31">
        <f>20+SUMIFS(
    INDEX(INNOVATION!$G:$H,,MATCH($D17,{"High";"Low"},0)),
   INNOVATION!$J:$J, "&gt;="&amp;$A17)</f>
        <v>25</v>
      </c>
      <c r="H17" s="23" cm="1">
        <f t="array" ref="H17">_xlfn.XLOOKUP(1,
 (INPUTS_MASTER!$A:$A=$A17)*
 (INPUTS_MASTER!$B:$B=$B17),
 INPUTS_MASTER!$F:$F
)</f>
        <v>35</v>
      </c>
      <c r="I17" s="23" cm="1">
        <f t="array" ref="I17">_xlfn.XLOOKUP(1,
 (INPUTS_MASTER!$A:$A=$A17)*
 (INPUTS_MASTER!$B:$B=$B17)*
 (INPUTS_MASTER!$C:$C=$C17),
 INPUTS_MASTER!$H:$H
)</f>
        <v>40</v>
      </c>
      <c r="J17" s="23" cm="1">
        <f t="array" ref="J17">_xlfn.XLOOKUP(1,
 (INPUTS_MASTER!$A:$A=$A17)*
 (INPUTS_MASTER!$B:$B=$B17)*
 (INPUTS_MASTER!$C:$C=$C17),
 INPUTS_MASTER!$K:$K
)</f>
        <v>50</v>
      </c>
      <c r="K17" s="8">
        <f t="shared" si="0"/>
        <v>1</v>
      </c>
      <c r="L17" s="8">
        <f t="shared" si="1"/>
        <v>0.3</v>
      </c>
      <c r="M17">
        <f t="shared" si="2"/>
        <v>0</v>
      </c>
      <c r="N17" s="8">
        <f t="shared" si="3"/>
        <v>25</v>
      </c>
      <c r="O17" s="8">
        <f t="shared" si="4"/>
        <v>23.5</v>
      </c>
      <c r="P17" s="8">
        <f t="shared" si="5"/>
        <v>0</v>
      </c>
      <c r="Q17" s="8">
        <f t="shared" si="6"/>
        <v>1.2</v>
      </c>
      <c r="R17" s="8">
        <f t="shared" si="7"/>
        <v>30</v>
      </c>
    </row>
    <row r="18" spans="1:18" x14ac:dyDescent="0.2">
      <c r="A18" s="4">
        <v>7</v>
      </c>
      <c r="B18" s="4" t="s">
        <v>8</v>
      </c>
      <c r="C18" s="4" t="s">
        <v>17</v>
      </c>
      <c r="D18" s="33" t="s">
        <v>12</v>
      </c>
      <c r="E18" s="36" cm="1">
        <f t="array" ref="E18">IFERROR(
   _xlfn.XLOOKUP(1,
     (MARKET_DATA!$A:$A=$A18-1)*
     (MARKET_DATA!$B:$B=$B18)*
     (MARKET_DATA!$C:$C=$C18)*
     (MARKET_DATA!$D:$D=$D18),
     MARKET_DATA!$J:$J),
   0)</f>
        <v>0</v>
      </c>
      <c r="F18" s="31" cm="1">
        <f t="array" ref="F18">IFERROR(
   _xlfn.XLOOKUP(1,
     (MARKET_DATA!$A:$A=$A18-1)*
     (MARKET_DATA!$B:$B=$B18)*
     (MARKET_DATA!$C:$C=$C18)*
     (MARKET_DATA!$D:$D=$D18),
     MARKET_DATA!$I:$I),
   0)</f>
        <v>0</v>
      </c>
      <c r="G18" s="31">
        <f>20+SUMIFS(
    INDEX(INNOVATION!$G:$H,,MATCH($D18,{"High";"Low"},0)),
   INNOVATION!$J:$J, "&gt;="&amp;$A18)</f>
        <v>23</v>
      </c>
      <c r="H18" s="23" cm="1">
        <f t="array" ref="H18">_xlfn.XLOOKUP(1,
 (INPUTS_MASTER!$A:$A=$A18)*
 (INPUTS_MASTER!$B:$B=$B18),
 INPUTS_MASTER!$F:$F
)</f>
        <v>35</v>
      </c>
      <c r="I18" s="23" cm="1">
        <f t="array" ref="I18">_xlfn.XLOOKUP(1,
 (INPUTS_MASTER!$A:$A=$A18)*
 (INPUTS_MASTER!$B:$B=$B18)*
 (INPUTS_MASTER!$C:$C=$C18),
 INPUTS_MASTER!$H:$H
)</f>
        <v>40</v>
      </c>
      <c r="J18" s="23" cm="1">
        <f t="array" ref="J18">_xlfn.XLOOKUP(1,
 (INPUTS_MASTER!$A:$A=$A18)*
 (INPUTS_MASTER!$B:$B=$B18)*
 (INPUTS_MASTER!$C:$C=$C18),
 INPUTS_MASTER!$K:$K
)</f>
        <v>50</v>
      </c>
      <c r="K18" s="8">
        <f t="shared" si="0"/>
        <v>0.3</v>
      </c>
      <c r="L18" s="8">
        <f t="shared" si="1"/>
        <v>1</v>
      </c>
      <c r="M18">
        <f t="shared" si="2"/>
        <v>0</v>
      </c>
      <c r="N18" s="8">
        <f t="shared" si="3"/>
        <v>23</v>
      </c>
      <c r="O18" s="8">
        <f t="shared" si="4"/>
        <v>25.25</v>
      </c>
      <c r="P18" s="8">
        <f t="shared" si="5"/>
        <v>0</v>
      </c>
      <c r="Q18" s="8">
        <f t="shared" si="6"/>
        <v>1</v>
      </c>
      <c r="R18" s="8">
        <f t="shared" si="7"/>
        <v>23</v>
      </c>
    </row>
    <row r="19" spans="1:18" x14ac:dyDescent="0.2">
      <c r="A19" s="11">
        <v>8</v>
      </c>
      <c r="B19" s="4" t="s">
        <v>8</v>
      </c>
      <c r="C19" s="4" t="s">
        <v>6</v>
      </c>
      <c r="D19" s="33" t="s">
        <v>11</v>
      </c>
      <c r="E19" s="36"/>
      <c r="F19" s="31"/>
      <c r="G19" s="31"/>
      <c r="H19" s="23"/>
      <c r="I19" s="23"/>
      <c r="J19" s="23"/>
      <c r="K19" s="8"/>
      <c r="L19" s="8"/>
      <c r="M19"/>
      <c r="N19" s="8"/>
      <c r="O19" s="8"/>
      <c r="P19" s="8"/>
      <c r="Q19" s="8"/>
      <c r="R19" s="8"/>
    </row>
    <row r="20" spans="1:18" x14ac:dyDescent="0.2">
      <c r="A20" s="11">
        <v>8</v>
      </c>
      <c r="B20" s="4" t="s">
        <v>8</v>
      </c>
      <c r="C20" s="4" t="s">
        <v>6</v>
      </c>
      <c r="D20" s="33" t="s">
        <v>12</v>
      </c>
    </row>
    <row r="21" spans="1:18" x14ac:dyDescent="0.2">
      <c r="A21" s="11">
        <v>8</v>
      </c>
      <c r="B21" s="4" t="s">
        <v>8</v>
      </c>
      <c r="C21" s="4" t="s">
        <v>14</v>
      </c>
      <c r="D21" s="33" t="s">
        <v>11</v>
      </c>
    </row>
    <row r="22" spans="1:18" x14ac:dyDescent="0.2">
      <c r="A22" s="11">
        <v>8</v>
      </c>
      <c r="B22" s="4" t="s">
        <v>8</v>
      </c>
      <c r="C22" s="4" t="s">
        <v>14</v>
      </c>
      <c r="D22" s="33" t="s">
        <v>12</v>
      </c>
    </row>
    <row r="23" spans="1:18" x14ac:dyDescent="0.2">
      <c r="A23" s="11">
        <v>8</v>
      </c>
      <c r="B23" s="4" t="s">
        <v>8</v>
      </c>
      <c r="C23" s="4" t="s">
        <v>15</v>
      </c>
      <c r="D23" s="33" t="s">
        <v>11</v>
      </c>
    </row>
    <row r="24" spans="1:18" x14ac:dyDescent="0.2">
      <c r="A24" s="11">
        <v>8</v>
      </c>
      <c r="B24" s="4" t="s">
        <v>8</v>
      </c>
      <c r="C24" s="4" t="s">
        <v>15</v>
      </c>
      <c r="D24" s="33" t="s">
        <v>12</v>
      </c>
    </row>
    <row r="25" spans="1:18" x14ac:dyDescent="0.2">
      <c r="A25" s="11">
        <v>8</v>
      </c>
      <c r="B25" s="4" t="s">
        <v>8</v>
      </c>
      <c r="C25" s="4" t="s">
        <v>16</v>
      </c>
      <c r="D25" s="33" t="s">
        <v>11</v>
      </c>
    </row>
    <row r="26" spans="1:18" x14ac:dyDescent="0.2">
      <c r="A26" s="11">
        <v>8</v>
      </c>
      <c r="B26" s="4" t="s">
        <v>8</v>
      </c>
      <c r="C26" s="4" t="s">
        <v>16</v>
      </c>
      <c r="D26" s="33" t="s">
        <v>12</v>
      </c>
    </row>
    <row r="27" spans="1:18" x14ac:dyDescent="0.2">
      <c r="A27" s="11">
        <v>8</v>
      </c>
      <c r="B27" s="4" t="s">
        <v>8</v>
      </c>
      <c r="C27" s="4" t="s">
        <v>17</v>
      </c>
      <c r="D27" s="33" t="s">
        <v>11</v>
      </c>
    </row>
    <row r="28" spans="1:18" x14ac:dyDescent="0.2">
      <c r="A28" s="11">
        <v>8</v>
      </c>
      <c r="B28" s="4" t="s">
        <v>8</v>
      </c>
      <c r="C28" s="4" t="s">
        <v>17</v>
      </c>
      <c r="D28" s="33" t="s">
        <v>12</v>
      </c>
    </row>
    <row r="29" spans="1:18" x14ac:dyDescent="0.2">
      <c r="A29" s="11">
        <v>9</v>
      </c>
      <c r="B29" s="4" t="s">
        <v>8</v>
      </c>
      <c r="C29" s="4" t="s">
        <v>6</v>
      </c>
      <c r="D29" s="33" t="s">
        <v>11</v>
      </c>
    </row>
    <row r="30" spans="1:18" x14ac:dyDescent="0.2">
      <c r="A30" s="11">
        <v>9</v>
      </c>
      <c r="B30" s="4" t="s">
        <v>8</v>
      </c>
      <c r="C30" s="4" t="s">
        <v>6</v>
      </c>
      <c r="D30" s="33" t="s">
        <v>12</v>
      </c>
    </row>
    <row r="31" spans="1:18" x14ac:dyDescent="0.2">
      <c r="A31" s="11">
        <v>9</v>
      </c>
      <c r="B31" s="4" t="s">
        <v>8</v>
      </c>
      <c r="C31" s="4" t="s">
        <v>14</v>
      </c>
      <c r="D31" s="33" t="s">
        <v>11</v>
      </c>
    </row>
    <row r="32" spans="1:18" x14ac:dyDescent="0.2">
      <c r="A32" s="11">
        <v>9</v>
      </c>
      <c r="B32" s="4" t="s">
        <v>8</v>
      </c>
      <c r="C32" s="4" t="s">
        <v>14</v>
      </c>
      <c r="D32" s="33" t="s">
        <v>12</v>
      </c>
    </row>
    <row r="33" spans="1:4" x14ac:dyDescent="0.2">
      <c r="A33" s="11">
        <v>9</v>
      </c>
      <c r="B33" s="4" t="s">
        <v>8</v>
      </c>
      <c r="C33" s="4" t="s">
        <v>15</v>
      </c>
      <c r="D33" s="33" t="s">
        <v>11</v>
      </c>
    </row>
    <row r="34" spans="1:4" x14ac:dyDescent="0.2">
      <c r="A34" s="11">
        <v>9</v>
      </c>
      <c r="B34" s="4" t="s">
        <v>8</v>
      </c>
      <c r="C34" s="4" t="s">
        <v>15</v>
      </c>
      <c r="D34" s="33" t="s">
        <v>12</v>
      </c>
    </row>
    <row r="35" spans="1:4" x14ac:dyDescent="0.2">
      <c r="A35" s="11">
        <v>9</v>
      </c>
      <c r="B35" s="4" t="s">
        <v>8</v>
      </c>
      <c r="C35" s="4" t="s">
        <v>16</v>
      </c>
      <c r="D35" s="33" t="s">
        <v>11</v>
      </c>
    </row>
    <row r="36" spans="1:4" x14ac:dyDescent="0.2">
      <c r="A36" s="11">
        <v>9</v>
      </c>
      <c r="B36" s="4" t="s">
        <v>8</v>
      </c>
      <c r="C36" s="4" t="s">
        <v>16</v>
      </c>
      <c r="D36" s="33" t="s">
        <v>12</v>
      </c>
    </row>
    <row r="37" spans="1:4" x14ac:dyDescent="0.2">
      <c r="A37" s="11">
        <v>9</v>
      </c>
      <c r="B37" s="4" t="s">
        <v>8</v>
      </c>
      <c r="C37" s="4" t="s">
        <v>17</v>
      </c>
      <c r="D37" s="33" t="s">
        <v>11</v>
      </c>
    </row>
    <row r="38" spans="1:4" x14ac:dyDescent="0.2">
      <c r="A38" s="11">
        <v>9</v>
      </c>
      <c r="B38" s="4" t="s">
        <v>8</v>
      </c>
      <c r="C38" s="4" t="s">
        <v>17</v>
      </c>
      <c r="D38" s="33" t="s">
        <v>12</v>
      </c>
    </row>
    <row r="39" spans="1:4" x14ac:dyDescent="0.2">
      <c r="A39" s="11">
        <v>10</v>
      </c>
      <c r="B39" s="4" t="s">
        <v>8</v>
      </c>
      <c r="C39" s="4" t="s">
        <v>6</v>
      </c>
      <c r="D39" s="33" t="s">
        <v>11</v>
      </c>
    </row>
    <row r="40" spans="1:4" x14ac:dyDescent="0.2">
      <c r="A40" s="11">
        <v>10</v>
      </c>
      <c r="B40" s="4" t="s">
        <v>8</v>
      </c>
      <c r="C40" s="4" t="s">
        <v>6</v>
      </c>
      <c r="D40" s="33" t="s">
        <v>12</v>
      </c>
    </row>
    <row r="41" spans="1:4" x14ac:dyDescent="0.2">
      <c r="A41" s="11">
        <v>10</v>
      </c>
      <c r="B41" s="4" t="s">
        <v>8</v>
      </c>
      <c r="C41" s="4" t="s">
        <v>14</v>
      </c>
      <c r="D41" s="33" t="s">
        <v>11</v>
      </c>
    </row>
    <row r="42" spans="1:4" x14ac:dyDescent="0.2">
      <c r="A42" s="11">
        <v>10</v>
      </c>
      <c r="B42" s="4" t="s">
        <v>8</v>
      </c>
      <c r="C42" s="4" t="s">
        <v>14</v>
      </c>
      <c r="D42" s="33" t="s">
        <v>12</v>
      </c>
    </row>
    <row r="43" spans="1:4" x14ac:dyDescent="0.2">
      <c r="A43" s="11">
        <v>10</v>
      </c>
      <c r="B43" s="4" t="s">
        <v>8</v>
      </c>
      <c r="C43" s="4" t="s">
        <v>15</v>
      </c>
      <c r="D43" s="33" t="s">
        <v>11</v>
      </c>
    </row>
    <row r="44" spans="1:4" x14ac:dyDescent="0.2">
      <c r="A44" s="11">
        <v>10</v>
      </c>
      <c r="B44" s="4" t="s">
        <v>8</v>
      </c>
      <c r="C44" s="4" t="s">
        <v>15</v>
      </c>
      <c r="D44" s="33" t="s">
        <v>12</v>
      </c>
    </row>
    <row r="45" spans="1:4" x14ac:dyDescent="0.2">
      <c r="A45" s="11">
        <v>10</v>
      </c>
      <c r="B45" s="4" t="s">
        <v>8</v>
      </c>
      <c r="C45" s="4" t="s">
        <v>16</v>
      </c>
      <c r="D45" s="33" t="s">
        <v>11</v>
      </c>
    </row>
    <row r="46" spans="1:4" x14ac:dyDescent="0.2">
      <c r="A46" s="11">
        <v>10</v>
      </c>
      <c r="B46" s="4" t="s">
        <v>8</v>
      </c>
      <c r="C46" s="4" t="s">
        <v>16</v>
      </c>
      <c r="D46" s="33" t="s">
        <v>12</v>
      </c>
    </row>
    <row r="47" spans="1:4" x14ac:dyDescent="0.2">
      <c r="A47" s="11">
        <v>10</v>
      </c>
      <c r="B47" s="4" t="s">
        <v>8</v>
      </c>
      <c r="C47" s="4" t="s">
        <v>17</v>
      </c>
      <c r="D47" s="33" t="s">
        <v>11</v>
      </c>
    </row>
    <row r="48" spans="1:4" x14ac:dyDescent="0.2">
      <c r="A48" s="11">
        <v>10</v>
      </c>
      <c r="B48" s="4" t="s">
        <v>8</v>
      </c>
      <c r="C48" s="4" t="s">
        <v>17</v>
      </c>
      <c r="D48" s="33" t="s">
        <v>12</v>
      </c>
    </row>
    <row r="49" spans="1:4" x14ac:dyDescent="0.2">
      <c r="A49" s="11">
        <v>11</v>
      </c>
      <c r="B49" s="4" t="s">
        <v>8</v>
      </c>
      <c r="C49" s="4" t="s">
        <v>6</v>
      </c>
      <c r="D49" s="33" t="s">
        <v>11</v>
      </c>
    </row>
    <row r="50" spans="1:4" x14ac:dyDescent="0.2">
      <c r="A50" s="11">
        <v>11</v>
      </c>
      <c r="B50" s="4" t="s">
        <v>8</v>
      </c>
      <c r="C50" s="4" t="s">
        <v>6</v>
      </c>
      <c r="D50" s="33" t="s">
        <v>12</v>
      </c>
    </row>
    <row r="51" spans="1:4" x14ac:dyDescent="0.2">
      <c r="A51" s="11">
        <v>11</v>
      </c>
      <c r="B51" s="4" t="s">
        <v>8</v>
      </c>
      <c r="C51" s="4" t="s">
        <v>14</v>
      </c>
      <c r="D51" s="33" t="s">
        <v>11</v>
      </c>
    </row>
    <row r="52" spans="1:4" x14ac:dyDescent="0.2">
      <c r="A52" s="11">
        <v>11</v>
      </c>
      <c r="B52" s="4" t="s">
        <v>8</v>
      </c>
      <c r="C52" s="4" t="s">
        <v>14</v>
      </c>
      <c r="D52" s="33" t="s">
        <v>12</v>
      </c>
    </row>
    <row r="53" spans="1:4" x14ac:dyDescent="0.2">
      <c r="A53" s="11">
        <v>11</v>
      </c>
      <c r="B53" s="4" t="s">
        <v>8</v>
      </c>
      <c r="C53" s="4" t="s">
        <v>15</v>
      </c>
      <c r="D53" s="33" t="s">
        <v>11</v>
      </c>
    </row>
    <row r="54" spans="1:4" x14ac:dyDescent="0.2">
      <c r="A54" s="11">
        <v>11</v>
      </c>
      <c r="B54" s="4" t="s">
        <v>8</v>
      </c>
      <c r="C54" s="4" t="s">
        <v>15</v>
      </c>
      <c r="D54" s="33" t="s">
        <v>12</v>
      </c>
    </row>
    <row r="55" spans="1:4" x14ac:dyDescent="0.2">
      <c r="A55" s="11">
        <v>11</v>
      </c>
      <c r="B55" s="4" t="s">
        <v>8</v>
      </c>
      <c r="C55" s="4" t="s">
        <v>16</v>
      </c>
      <c r="D55" s="33" t="s">
        <v>11</v>
      </c>
    </row>
    <row r="56" spans="1:4" x14ac:dyDescent="0.2">
      <c r="A56" s="11">
        <v>11</v>
      </c>
      <c r="B56" s="4" t="s">
        <v>8</v>
      </c>
      <c r="C56" s="4" t="s">
        <v>16</v>
      </c>
      <c r="D56" s="33" t="s">
        <v>12</v>
      </c>
    </row>
    <row r="57" spans="1:4" x14ac:dyDescent="0.2">
      <c r="A57" s="11">
        <v>11</v>
      </c>
      <c r="B57" s="4" t="s">
        <v>8</v>
      </c>
      <c r="C57" s="4" t="s">
        <v>17</v>
      </c>
      <c r="D57" s="33" t="s">
        <v>11</v>
      </c>
    </row>
    <row r="58" spans="1:4" x14ac:dyDescent="0.2">
      <c r="A58" s="11">
        <v>11</v>
      </c>
      <c r="B58" s="4" t="s">
        <v>8</v>
      </c>
      <c r="C58" s="4" t="s">
        <v>17</v>
      </c>
      <c r="D58" s="33" t="s">
        <v>12</v>
      </c>
    </row>
    <row r="59" spans="1:4" x14ac:dyDescent="0.2">
      <c r="A59" s="11">
        <v>12</v>
      </c>
      <c r="B59" s="4" t="s">
        <v>8</v>
      </c>
      <c r="C59" s="4" t="s">
        <v>6</v>
      </c>
      <c r="D59" s="33" t="s">
        <v>11</v>
      </c>
    </row>
    <row r="60" spans="1:4" x14ac:dyDescent="0.2">
      <c r="A60" s="11">
        <v>12</v>
      </c>
      <c r="B60" s="4" t="s">
        <v>8</v>
      </c>
      <c r="C60" s="4" t="s">
        <v>6</v>
      </c>
      <c r="D60" s="33" t="s">
        <v>12</v>
      </c>
    </row>
    <row r="61" spans="1:4" x14ac:dyDescent="0.2">
      <c r="A61" s="11">
        <v>12</v>
      </c>
      <c r="B61" s="4" t="s">
        <v>8</v>
      </c>
      <c r="C61" s="4" t="s">
        <v>14</v>
      </c>
      <c r="D61" s="33" t="s">
        <v>11</v>
      </c>
    </row>
    <row r="62" spans="1:4" x14ac:dyDescent="0.2">
      <c r="A62" s="11">
        <v>12</v>
      </c>
      <c r="B62" s="4" t="s">
        <v>8</v>
      </c>
      <c r="C62" s="4" t="s">
        <v>14</v>
      </c>
      <c r="D62" s="33" t="s">
        <v>12</v>
      </c>
    </row>
    <row r="63" spans="1:4" x14ac:dyDescent="0.2">
      <c r="A63" s="11">
        <v>12</v>
      </c>
      <c r="B63" s="4" t="s">
        <v>8</v>
      </c>
      <c r="C63" s="4" t="s">
        <v>15</v>
      </c>
      <c r="D63" s="33" t="s">
        <v>11</v>
      </c>
    </row>
    <row r="64" spans="1:4" x14ac:dyDescent="0.2">
      <c r="A64" s="11">
        <v>12</v>
      </c>
      <c r="B64" s="4" t="s">
        <v>8</v>
      </c>
      <c r="C64" s="4" t="s">
        <v>15</v>
      </c>
      <c r="D64" s="33" t="s">
        <v>12</v>
      </c>
    </row>
    <row r="65" spans="1:4" x14ac:dyDescent="0.2">
      <c r="A65" s="11">
        <v>12</v>
      </c>
      <c r="B65" s="4" t="s">
        <v>8</v>
      </c>
      <c r="C65" s="4" t="s">
        <v>16</v>
      </c>
      <c r="D65" s="33" t="s">
        <v>11</v>
      </c>
    </row>
    <row r="66" spans="1:4" x14ac:dyDescent="0.2">
      <c r="A66" s="11">
        <v>12</v>
      </c>
      <c r="B66" s="4" t="s">
        <v>8</v>
      </c>
      <c r="C66" s="4" t="s">
        <v>16</v>
      </c>
      <c r="D66" s="33" t="s">
        <v>12</v>
      </c>
    </row>
    <row r="67" spans="1:4" x14ac:dyDescent="0.2">
      <c r="A67" s="11">
        <v>12</v>
      </c>
      <c r="B67" s="4" t="s">
        <v>8</v>
      </c>
      <c r="C67" s="4" t="s">
        <v>17</v>
      </c>
      <c r="D67" s="33" t="s">
        <v>11</v>
      </c>
    </row>
    <row r="68" spans="1:4" x14ac:dyDescent="0.2">
      <c r="A68" s="11">
        <v>12</v>
      </c>
      <c r="B68" s="4" t="s">
        <v>8</v>
      </c>
      <c r="C68" s="4" t="s">
        <v>17</v>
      </c>
      <c r="D68" s="33" t="s">
        <v>12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AD8D-FF13-4F37-9544-7A9878965594}">
  <sheetPr>
    <tabColor theme="9" tint="0.79998168889431442"/>
  </sheetPr>
  <dimension ref="A1:N38"/>
  <sheetViews>
    <sheetView workbookViewId="0">
      <selection activeCell="J8" sqref="J8:J14"/>
    </sheetView>
  </sheetViews>
  <sheetFormatPr defaultRowHeight="12" x14ac:dyDescent="0.2"/>
  <cols>
    <col min="1" max="1" width="28.5" customWidth="1"/>
    <col min="2" max="2" width="10.33203125" customWidth="1"/>
    <col min="3" max="3" width="8" customWidth="1"/>
    <col min="4" max="4" width="11.1640625" customWidth="1"/>
    <col min="5" max="5" width="13.83203125" customWidth="1"/>
    <col min="6" max="6" width="13" customWidth="1"/>
    <col min="7" max="7" width="11.1640625" customWidth="1"/>
    <col min="8" max="8" width="12.1640625" customWidth="1"/>
    <col min="9" max="9" width="13.83203125" customWidth="1"/>
    <col min="10" max="10" width="11.1640625" customWidth="1"/>
  </cols>
  <sheetData>
    <row r="1" spans="1:14" x14ac:dyDescent="0.2">
      <c r="A1" t="s">
        <v>148</v>
      </c>
      <c r="B1">
        <v>0.1</v>
      </c>
    </row>
    <row r="2" spans="1:14" x14ac:dyDescent="0.2">
      <c r="A2" t="s">
        <v>149</v>
      </c>
      <c r="B2">
        <v>2</v>
      </c>
    </row>
    <row r="3" spans="1:14" x14ac:dyDescent="0.2">
      <c r="A3" t="s">
        <v>150</v>
      </c>
      <c r="B3">
        <v>0.2</v>
      </c>
    </row>
    <row r="4" spans="1:14" x14ac:dyDescent="0.2">
      <c r="A4" t="s">
        <v>151</v>
      </c>
      <c r="B4">
        <v>23</v>
      </c>
    </row>
    <row r="5" spans="1:14" x14ac:dyDescent="0.2">
      <c r="A5" t="s">
        <v>152</v>
      </c>
      <c r="B5">
        <v>0.5</v>
      </c>
    </row>
    <row r="6" spans="1:14" x14ac:dyDescent="0.2">
      <c r="A6" t="s">
        <v>154</v>
      </c>
      <c r="B6">
        <v>0.7</v>
      </c>
    </row>
    <row r="8" spans="1:14" s="1" customFormat="1" ht="28.5" customHeight="1" x14ac:dyDescent="0.2">
      <c r="A8" s="48" t="s">
        <v>0</v>
      </c>
      <c r="B8" s="48" t="s">
        <v>1</v>
      </c>
      <c r="C8" s="49" t="s">
        <v>2</v>
      </c>
      <c r="D8" s="48" t="s">
        <v>70</v>
      </c>
      <c r="E8" s="48" t="s">
        <v>153</v>
      </c>
      <c r="F8" s="48" t="s">
        <v>83</v>
      </c>
      <c r="G8" s="48" t="s">
        <v>144</v>
      </c>
      <c r="H8" s="48" t="s">
        <v>145</v>
      </c>
      <c r="I8" s="48" t="s">
        <v>146</v>
      </c>
      <c r="J8" s="48" t="s">
        <v>147</v>
      </c>
    </row>
    <row r="9" spans="1:14" x14ac:dyDescent="0.2">
      <c r="A9" s="4">
        <v>7</v>
      </c>
      <c r="B9" s="4" t="s">
        <v>8</v>
      </c>
      <c r="C9" s="33" t="s">
        <v>6</v>
      </c>
      <c r="D9" s="13" cm="1">
        <f t="array" ref="D9">IFERROR(
   _xlfn.XLOOKUP(1,
     (MARKET_DATA!$A:$A=$A9-1)*
     (MARKET_DATA!$B:$B=$B9)*
     (MARKET_DATA!$C:$C=$C9),
     MARKET_DATA!$K:$K),
   0)</f>
        <v>0</v>
      </c>
      <c r="E9" s="40">
        <v>0</v>
      </c>
      <c r="F9" s="13" cm="1">
        <f t="array" ref="F9">_xlfn.XLOOKUP(1,
   (INPUTS_MASTER!$A:$A=$A9)*
   (INPUTS_MASTER!$B:$B=$B9)*
   (INPUTS_MASTER!$C:$C=$C9),
   INPUTS_MASTER!$L:$L)</f>
        <v>17</v>
      </c>
      <c r="G9" s="13">
        <f>((1-$B$1)^E9)</f>
        <v>1</v>
      </c>
      <c r="H9" s="13">
        <f>IF(E9&gt;=$B$2, 1-$B$3, 1)</f>
        <v>1</v>
      </c>
      <c r="I9" s="13">
        <f>F9*G9*H9</f>
        <v>17</v>
      </c>
      <c r="J9" s="13">
        <f>MIN(100, D9 + ($B$4*(I9^$B$5) - D9)*$B$6)</f>
        <v>66.382000572444326</v>
      </c>
      <c r="K9" s="8"/>
      <c r="L9" s="8"/>
      <c r="M9" s="8"/>
      <c r="N9" s="8"/>
    </row>
    <row r="10" spans="1:14" x14ac:dyDescent="0.2">
      <c r="A10" s="4">
        <v>7</v>
      </c>
      <c r="B10" s="4" t="s">
        <v>8</v>
      </c>
      <c r="C10" s="33" t="s">
        <v>14</v>
      </c>
      <c r="D10" s="13" cm="1">
        <f t="array" ref="D10">IFERROR(
   _xlfn.XLOOKUP(1,
     (MARKET_DATA!$A:$A=$A10-1)*
     (MARKET_DATA!$B:$B=$B10)*
     (MARKET_DATA!$C:$C=$C10),
     MARKET_DATA!$K:$K),
   0)</f>
        <v>0</v>
      </c>
      <c r="E10" s="40">
        <v>0</v>
      </c>
      <c r="F10" s="13" cm="1">
        <f t="array" ref="F10">_xlfn.XLOOKUP(1,
   (INPUTS_MASTER!$A:$A=$A10)*
   (INPUTS_MASTER!$B:$B=$B10)*
   (INPUTS_MASTER!$C:$C=$C10),
   INPUTS_MASTER!$L:$L)</f>
        <v>13</v>
      </c>
      <c r="G10" s="13">
        <f t="shared" ref="G10:G13" si="0">((1-$B$1)^E10)</f>
        <v>1</v>
      </c>
      <c r="H10" s="13">
        <f t="shared" ref="H10:H13" si="1">IF(E10&gt;=$B$2, 1-$B$3, 1)</f>
        <v>1</v>
      </c>
      <c r="I10" s="13">
        <f t="shared" ref="I10:I13" si="2">F10*G10*H10</f>
        <v>13</v>
      </c>
      <c r="J10" s="13">
        <f t="shared" ref="J10:J13" si="3">MIN(100, D10 + ($B$4*(I10^$B$5) - D10)*$B$6)</f>
        <v>58.049375534970224</v>
      </c>
    </row>
    <row r="11" spans="1:14" x14ac:dyDescent="0.2">
      <c r="A11" s="4">
        <v>7</v>
      </c>
      <c r="B11" s="4" t="s">
        <v>8</v>
      </c>
      <c r="C11" s="33" t="s">
        <v>15</v>
      </c>
      <c r="D11" s="13" cm="1">
        <f t="array" ref="D11">IFERROR(
   _xlfn.XLOOKUP(1,
     (MARKET_DATA!$A:$A=$A11-1)*
     (MARKET_DATA!$B:$B=$B11)*
     (MARKET_DATA!$C:$C=$C11),
     MARKET_DATA!$K:$K),
   0)</f>
        <v>0</v>
      </c>
      <c r="E11" s="40">
        <v>0</v>
      </c>
      <c r="F11" s="13" cm="1">
        <f t="array" ref="F11">_xlfn.XLOOKUP(1,
   (INPUTS_MASTER!$A:$A=$A11)*
   (INPUTS_MASTER!$B:$B=$B11)*
   (INPUTS_MASTER!$C:$C=$C11),
   INPUTS_MASTER!$L:$L)</f>
        <v>14</v>
      </c>
      <c r="G11" s="13">
        <f t="shared" si="0"/>
        <v>1</v>
      </c>
      <c r="H11" s="13">
        <f t="shared" si="1"/>
        <v>1</v>
      </c>
      <c r="I11" s="13">
        <f t="shared" si="2"/>
        <v>14</v>
      </c>
      <c r="J11" s="13">
        <f t="shared" si="3"/>
        <v>60.240683927060445</v>
      </c>
    </row>
    <row r="12" spans="1:14" x14ac:dyDescent="0.2">
      <c r="A12" s="4">
        <v>7</v>
      </c>
      <c r="B12" s="4" t="s">
        <v>8</v>
      </c>
      <c r="C12" s="33" t="s">
        <v>16</v>
      </c>
      <c r="D12" s="13" cm="1">
        <f t="array" ref="D12">IFERROR(
   _xlfn.XLOOKUP(1,
     (MARKET_DATA!$A:$A=$A12-1)*
     (MARKET_DATA!$B:$B=$B12)*
     (MARKET_DATA!$C:$C=$C12),
     MARKET_DATA!$K:$K),
   0)</f>
        <v>0</v>
      </c>
      <c r="E12" s="40">
        <v>0</v>
      </c>
      <c r="F12" s="13" cm="1">
        <f t="array" ref="F12">_xlfn.XLOOKUP(1,
   (INPUTS_MASTER!$A:$A=$A12)*
   (INPUTS_MASTER!$B:$B=$B12)*
   (INPUTS_MASTER!$C:$C=$C12),
   INPUTS_MASTER!$L:$L)</f>
        <v>7</v>
      </c>
      <c r="G12" s="13">
        <f t="shared" si="0"/>
        <v>1</v>
      </c>
      <c r="H12" s="13">
        <f t="shared" si="1"/>
        <v>1</v>
      </c>
      <c r="I12" s="13">
        <f t="shared" si="2"/>
        <v>7</v>
      </c>
      <c r="J12" s="13">
        <f t="shared" si="3"/>
        <v>42.596596108139906</v>
      </c>
    </row>
    <row r="13" spans="1:14" x14ac:dyDescent="0.2">
      <c r="A13" s="4">
        <v>7</v>
      </c>
      <c r="B13" s="4" t="s">
        <v>8</v>
      </c>
      <c r="C13" s="33" t="s">
        <v>17</v>
      </c>
      <c r="D13" s="13" cm="1">
        <f t="array" ref="D13">IFERROR(
   _xlfn.XLOOKUP(1,
     (MARKET_DATA!$A:$A=$A13-1)*
     (MARKET_DATA!$B:$B=$B13)*
     (MARKET_DATA!$C:$C=$C13),
     MARKET_DATA!$K:$K),
   0)</f>
        <v>0</v>
      </c>
      <c r="E13" s="40">
        <v>0</v>
      </c>
      <c r="F13" s="13" cm="1">
        <f t="array" ref="F13">_xlfn.XLOOKUP(1,
   (INPUTS_MASTER!$A:$A=$A13)*
   (INPUTS_MASTER!$B:$B=$B13)*
   (INPUTS_MASTER!$C:$C=$C13),
   INPUTS_MASTER!$L:$L)</f>
        <v>7</v>
      </c>
      <c r="G13" s="13">
        <f t="shared" si="0"/>
        <v>1</v>
      </c>
      <c r="H13" s="13">
        <f t="shared" si="1"/>
        <v>1</v>
      </c>
      <c r="I13" s="13">
        <f t="shared" si="2"/>
        <v>7</v>
      </c>
      <c r="J13" s="13">
        <f t="shared" si="3"/>
        <v>42.596596108139906</v>
      </c>
    </row>
    <row r="14" spans="1:14" x14ac:dyDescent="0.2">
      <c r="A14" s="4">
        <v>8</v>
      </c>
      <c r="B14" s="4" t="s">
        <v>8</v>
      </c>
      <c r="C14" s="33" t="s">
        <v>6</v>
      </c>
      <c r="D14" s="13" cm="1">
        <f t="array" ref="D14">IFERROR(
   _xlfn.XLOOKUP(1,
     (MARKET_DATA!$A:$A=$A14-1)*
     (MARKET_DATA!$B:$B=$B14)*
     (MARKET_DATA!$C:$C=$C14),
     MARKET_DATA!$K:$K),
   0)</f>
        <v>0</v>
      </c>
      <c r="E14" s="13"/>
      <c r="F14" s="13" t="e" cm="1">
        <f t="array" ref="F14">_xlfn.XLOOKUP(1,
   (INPUTS_MASTER!$A:$A=$A14)*
   (INPUTS_MASTER!$B:$B=$B14)*
   (INPUTS_MASTER!$C:$C=$C14),
   INPUTS_MASTER!$L:$L)</f>
        <v>#N/A</v>
      </c>
      <c r="G14" s="13"/>
      <c r="H14" s="13"/>
      <c r="I14" s="13"/>
      <c r="J14" s="13"/>
    </row>
    <row r="15" spans="1:14" x14ac:dyDescent="0.2">
      <c r="A15" s="4">
        <v>8</v>
      </c>
      <c r="B15" s="4" t="s">
        <v>8</v>
      </c>
      <c r="C15" s="33" t="s">
        <v>14</v>
      </c>
      <c r="D15" s="13" cm="1">
        <f t="array" ref="D15">IFERROR(
   _xlfn.XLOOKUP(1,
     (MARKET_DATA!$A:$A=$A15-1)*
     (MARKET_DATA!$B:$B=$B15)*
     (MARKET_DATA!$C:$C=$C15),
     MARKET_DATA!$K:$K),
   0)</f>
        <v>0</v>
      </c>
      <c r="E15" s="13"/>
      <c r="F15" s="13" t="e" cm="1">
        <f t="array" ref="F15">_xlfn.XLOOKUP(1,
   (INPUTS_MASTER!$A:$A=$A15)*
   (INPUTS_MASTER!$B:$B=$B15)*
   (INPUTS_MASTER!$C:$C=$C15),
   INPUTS_MASTER!$L:$L)</f>
        <v>#N/A</v>
      </c>
      <c r="G15" s="13"/>
      <c r="H15" s="13"/>
      <c r="I15" s="13"/>
      <c r="J15" s="13"/>
    </row>
    <row r="16" spans="1:14" x14ac:dyDescent="0.2">
      <c r="A16" s="4">
        <v>8</v>
      </c>
      <c r="B16" s="4" t="s">
        <v>8</v>
      </c>
      <c r="C16" s="33" t="s">
        <v>15</v>
      </c>
      <c r="D16" s="13" cm="1">
        <f t="array" ref="D16">IFERROR(
   _xlfn.XLOOKUP(1,
     (MARKET_DATA!$A:$A=$A16-1)*
     (MARKET_DATA!$B:$B=$B16)*
     (MARKET_DATA!$C:$C=$C16),
     MARKET_DATA!$K:$K),
   0)</f>
        <v>0</v>
      </c>
      <c r="E16" s="13"/>
      <c r="F16" s="13" t="e" cm="1">
        <f t="array" ref="F16">_xlfn.XLOOKUP(1,
   (INPUTS_MASTER!$A:$A=$A16)*
   (INPUTS_MASTER!$B:$B=$B16)*
   (INPUTS_MASTER!$C:$C=$C16),
   INPUTS_MASTER!$L:$L)</f>
        <v>#N/A</v>
      </c>
      <c r="G16" s="13"/>
      <c r="H16" s="13"/>
      <c r="I16" s="13"/>
      <c r="J16" s="13"/>
    </row>
    <row r="17" spans="1:10" x14ac:dyDescent="0.2">
      <c r="A17" s="4">
        <v>8</v>
      </c>
      <c r="B17" s="4" t="s">
        <v>8</v>
      </c>
      <c r="C17" s="33" t="s">
        <v>16</v>
      </c>
      <c r="D17" s="13" cm="1">
        <f t="array" ref="D17">IFERROR(
   _xlfn.XLOOKUP(1,
     (MARKET_DATA!$A:$A=$A17-1)*
     (MARKET_DATA!$B:$B=$B17)*
     (MARKET_DATA!$C:$C=$C17),
     MARKET_DATA!$K:$K),
   0)</f>
        <v>0</v>
      </c>
      <c r="E17" s="13"/>
      <c r="F17" s="13" t="e" cm="1">
        <f t="array" ref="F17">_xlfn.XLOOKUP(1,
   (INPUTS_MASTER!$A:$A=$A17)*
   (INPUTS_MASTER!$B:$B=$B17)*
   (INPUTS_MASTER!$C:$C=$C17),
   INPUTS_MASTER!$L:$L)</f>
        <v>#N/A</v>
      </c>
      <c r="G17" s="13"/>
      <c r="H17" s="13"/>
      <c r="I17" s="13"/>
      <c r="J17" s="13"/>
    </row>
    <row r="18" spans="1:10" x14ac:dyDescent="0.2">
      <c r="A18" s="4">
        <v>8</v>
      </c>
      <c r="B18" s="4" t="s">
        <v>8</v>
      </c>
      <c r="C18" s="33" t="s">
        <v>17</v>
      </c>
      <c r="D18" s="13" cm="1">
        <f t="array" ref="D18">IFERROR(
   _xlfn.XLOOKUP(1,
     (MARKET_DATA!$A:$A=$A18-1)*
     (MARKET_DATA!$B:$B=$B18)*
     (MARKET_DATA!$C:$C=$C18),
     MARKET_DATA!$K:$K),
   0)</f>
        <v>0</v>
      </c>
      <c r="E18" s="13"/>
      <c r="F18" s="13" t="e" cm="1">
        <f t="array" ref="F18">_xlfn.XLOOKUP(1,
   (INPUTS_MASTER!$A:$A=$A18)*
   (INPUTS_MASTER!$B:$B=$B18)*
   (INPUTS_MASTER!$C:$C=$C18),
   INPUTS_MASTER!$L:$L)</f>
        <v>#N/A</v>
      </c>
      <c r="G18" s="13"/>
      <c r="H18" s="13"/>
      <c r="I18" s="13"/>
      <c r="J18" s="13"/>
    </row>
    <row r="19" spans="1:10" x14ac:dyDescent="0.2">
      <c r="A19" s="4">
        <v>9</v>
      </c>
      <c r="B19" s="4" t="s">
        <v>8</v>
      </c>
      <c r="C19" s="33" t="s">
        <v>6</v>
      </c>
      <c r="D19" s="13" cm="1">
        <f t="array" ref="D19">IFERROR(
   _xlfn.XLOOKUP(1,
     (MARKET_DATA!$A:$A=$A19-1)*
     (MARKET_DATA!$B:$B=$B19)*
     (MARKET_DATA!$C:$C=$C19),
     MARKET_DATA!$K:$K),
   0)</f>
        <v>0</v>
      </c>
      <c r="E19" s="13"/>
      <c r="F19" s="13" t="e" cm="1">
        <f t="array" ref="F19">_xlfn.XLOOKUP(1,
   (INPUTS_MASTER!$A:$A=$A19)*
   (INPUTS_MASTER!$B:$B=$B19)*
   (INPUTS_MASTER!$C:$C=$C19),
   INPUTS_MASTER!$L:$L)</f>
        <v>#N/A</v>
      </c>
      <c r="G19" s="13"/>
      <c r="H19" s="13"/>
      <c r="I19" s="13"/>
      <c r="J19" s="13"/>
    </row>
    <row r="20" spans="1:10" x14ac:dyDescent="0.2">
      <c r="A20" s="4">
        <v>9</v>
      </c>
      <c r="B20" s="4" t="s">
        <v>8</v>
      </c>
      <c r="C20" s="33" t="s">
        <v>14</v>
      </c>
      <c r="D20" s="13" cm="1">
        <f t="array" ref="D20">IFERROR(
   _xlfn.XLOOKUP(1,
     (MARKET_DATA!$A:$A=$A20-1)*
     (MARKET_DATA!$B:$B=$B20)*
     (MARKET_DATA!$C:$C=$C20),
     MARKET_DATA!$K:$K),
   0)</f>
        <v>0</v>
      </c>
      <c r="E20" s="13"/>
      <c r="F20" s="13" t="e" cm="1">
        <f t="array" ref="F20">_xlfn.XLOOKUP(1,
   (INPUTS_MASTER!$A:$A=$A20)*
   (INPUTS_MASTER!$B:$B=$B20)*
   (INPUTS_MASTER!$C:$C=$C20),
   INPUTS_MASTER!$L:$L)</f>
        <v>#N/A</v>
      </c>
      <c r="G20" s="13"/>
      <c r="H20" s="13"/>
      <c r="I20" s="13"/>
      <c r="J20" s="13"/>
    </row>
    <row r="21" spans="1:10" x14ac:dyDescent="0.2">
      <c r="A21" s="4">
        <v>9</v>
      </c>
      <c r="B21" s="4" t="s">
        <v>8</v>
      </c>
      <c r="C21" s="33" t="s">
        <v>15</v>
      </c>
      <c r="D21" s="13" cm="1">
        <f t="array" ref="D21">IFERROR(
   _xlfn.XLOOKUP(1,
     (MARKET_DATA!$A:$A=$A21-1)*
     (MARKET_DATA!$B:$B=$B21)*
     (MARKET_DATA!$C:$C=$C21),
     MARKET_DATA!$K:$K),
   0)</f>
        <v>0</v>
      </c>
      <c r="E21" s="13"/>
      <c r="F21" s="13" t="e" cm="1">
        <f t="array" ref="F21">_xlfn.XLOOKUP(1,
   (INPUTS_MASTER!$A:$A=$A21)*
   (INPUTS_MASTER!$B:$B=$B21)*
   (INPUTS_MASTER!$C:$C=$C21),
   INPUTS_MASTER!$L:$L)</f>
        <v>#N/A</v>
      </c>
      <c r="G21" s="13"/>
      <c r="H21" s="13"/>
      <c r="I21" s="13"/>
      <c r="J21" s="13"/>
    </row>
    <row r="22" spans="1:10" x14ac:dyDescent="0.2">
      <c r="A22" s="4">
        <v>9</v>
      </c>
      <c r="B22" s="4" t="s">
        <v>8</v>
      </c>
      <c r="C22" s="33" t="s">
        <v>16</v>
      </c>
      <c r="D22" s="13" cm="1">
        <f t="array" ref="D22">IFERROR(
   _xlfn.XLOOKUP(1,
     (MARKET_DATA!$A:$A=$A22-1)*
     (MARKET_DATA!$B:$B=$B22)*
     (MARKET_DATA!$C:$C=$C22),
     MARKET_DATA!$K:$K),
   0)</f>
        <v>0</v>
      </c>
      <c r="E22" s="13"/>
      <c r="F22" s="13" t="e" cm="1">
        <f t="array" ref="F22">_xlfn.XLOOKUP(1,
   (INPUTS_MASTER!$A:$A=$A22)*
   (INPUTS_MASTER!$B:$B=$B22)*
   (INPUTS_MASTER!$C:$C=$C22),
   INPUTS_MASTER!$L:$L)</f>
        <v>#N/A</v>
      </c>
      <c r="G22" s="13"/>
      <c r="H22" s="13"/>
      <c r="I22" s="13"/>
      <c r="J22" s="13"/>
    </row>
    <row r="23" spans="1:10" x14ac:dyDescent="0.2">
      <c r="A23" s="4">
        <v>9</v>
      </c>
      <c r="B23" s="4" t="s">
        <v>8</v>
      </c>
      <c r="C23" s="33" t="s">
        <v>17</v>
      </c>
      <c r="D23" s="13" cm="1">
        <f t="array" ref="D23">IFERROR(
   _xlfn.XLOOKUP(1,
     (MARKET_DATA!$A:$A=$A23-1)*
     (MARKET_DATA!$B:$B=$B23)*
     (MARKET_DATA!$C:$C=$C23),
     MARKET_DATA!$K:$K),
   0)</f>
        <v>0</v>
      </c>
      <c r="E23" s="13"/>
      <c r="F23" s="13" t="e" cm="1">
        <f t="array" ref="F23">_xlfn.XLOOKUP(1,
   (INPUTS_MASTER!$A:$A=$A23)*
   (INPUTS_MASTER!$B:$B=$B23)*
   (INPUTS_MASTER!$C:$C=$C23),
   INPUTS_MASTER!$L:$L)</f>
        <v>#N/A</v>
      </c>
      <c r="G23" s="13"/>
      <c r="H23" s="13"/>
      <c r="I23" s="13"/>
      <c r="J23" s="13"/>
    </row>
    <row r="24" spans="1:10" x14ac:dyDescent="0.2">
      <c r="A24" s="4">
        <v>10</v>
      </c>
      <c r="B24" s="4" t="s">
        <v>8</v>
      </c>
      <c r="C24" s="33" t="s">
        <v>6</v>
      </c>
      <c r="D24" s="13" cm="1">
        <f t="array" ref="D24">IFERROR(
   _xlfn.XLOOKUP(1,
     (MARKET_DATA!$A:$A=$A24-1)*
     (MARKET_DATA!$B:$B=$B24)*
     (MARKET_DATA!$C:$C=$C24),
     MARKET_DATA!$K:$K),
   0)</f>
        <v>0</v>
      </c>
      <c r="E24" s="13"/>
      <c r="F24" s="13" t="e" cm="1">
        <f t="array" ref="F24">_xlfn.XLOOKUP(1,
   (INPUTS_MASTER!$A:$A=$A24)*
   (INPUTS_MASTER!$B:$B=$B24)*
   (INPUTS_MASTER!$C:$C=$C24),
   INPUTS_MASTER!$L:$L)</f>
        <v>#N/A</v>
      </c>
      <c r="G24" s="13"/>
      <c r="H24" s="13"/>
      <c r="I24" s="13"/>
      <c r="J24" s="13"/>
    </row>
    <row r="25" spans="1:10" x14ac:dyDescent="0.2">
      <c r="A25" s="4">
        <v>10</v>
      </c>
      <c r="B25" s="4" t="s">
        <v>8</v>
      </c>
      <c r="C25" s="33" t="s">
        <v>14</v>
      </c>
      <c r="D25" s="13" cm="1">
        <f t="array" ref="D25">IFERROR(
   _xlfn.XLOOKUP(1,
     (MARKET_DATA!$A:$A=$A25-1)*
     (MARKET_DATA!$B:$B=$B25)*
     (MARKET_DATA!$C:$C=$C25),
     MARKET_DATA!$K:$K),
   0)</f>
        <v>0</v>
      </c>
      <c r="E25" s="13"/>
      <c r="F25" s="13" t="e" cm="1">
        <f t="array" ref="F25">_xlfn.XLOOKUP(1,
   (INPUTS_MASTER!$A:$A=$A25)*
   (INPUTS_MASTER!$B:$B=$B25)*
   (INPUTS_MASTER!$C:$C=$C25),
   INPUTS_MASTER!$L:$L)</f>
        <v>#N/A</v>
      </c>
      <c r="G25" s="13"/>
      <c r="H25" s="13"/>
      <c r="I25" s="13"/>
      <c r="J25" s="13"/>
    </row>
    <row r="26" spans="1:10" x14ac:dyDescent="0.2">
      <c r="A26" s="4">
        <v>10</v>
      </c>
      <c r="B26" s="4" t="s">
        <v>8</v>
      </c>
      <c r="C26" s="33" t="s">
        <v>15</v>
      </c>
      <c r="D26" s="13" cm="1">
        <f t="array" ref="D26">IFERROR(
   _xlfn.XLOOKUP(1,
     (MARKET_DATA!$A:$A=$A26-1)*
     (MARKET_DATA!$B:$B=$B26)*
     (MARKET_DATA!$C:$C=$C26),
     MARKET_DATA!$K:$K),
   0)</f>
        <v>0</v>
      </c>
      <c r="E26" s="13"/>
      <c r="F26" s="13" t="e" cm="1">
        <f t="array" ref="F26">_xlfn.XLOOKUP(1,
   (INPUTS_MASTER!$A:$A=$A26)*
   (INPUTS_MASTER!$B:$B=$B26)*
   (INPUTS_MASTER!$C:$C=$C26),
   INPUTS_MASTER!$L:$L)</f>
        <v>#N/A</v>
      </c>
      <c r="G26" s="13"/>
      <c r="H26" s="13"/>
      <c r="I26" s="13"/>
      <c r="J26" s="13"/>
    </row>
    <row r="27" spans="1:10" x14ac:dyDescent="0.2">
      <c r="A27" s="4">
        <v>10</v>
      </c>
      <c r="B27" s="4" t="s">
        <v>8</v>
      </c>
      <c r="C27" s="33" t="s">
        <v>16</v>
      </c>
      <c r="D27" s="13" cm="1">
        <f t="array" ref="D27">IFERROR(
   _xlfn.XLOOKUP(1,
     (MARKET_DATA!$A:$A=$A27-1)*
     (MARKET_DATA!$B:$B=$B27)*
     (MARKET_DATA!$C:$C=$C27),
     MARKET_DATA!$K:$K),
   0)</f>
        <v>0</v>
      </c>
      <c r="E27" s="13"/>
      <c r="F27" s="13" t="e" cm="1">
        <f t="array" ref="F27">_xlfn.XLOOKUP(1,
   (INPUTS_MASTER!$A:$A=$A27)*
   (INPUTS_MASTER!$B:$B=$B27)*
   (INPUTS_MASTER!$C:$C=$C27),
   INPUTS_MASTER!$L:$L)</f>
        <v>#N/A</v>
      </c>
      <c r="G27" s="13"/>
      <c r="H27" s="13"/>
      <c r="I27" s="13"/>
      <c r="J27" s="13"/>
    </row>
    <row r="28" spans="1:10" x14ac:dyDescent="0.2">
      <c r="A28" s="4">
        <v>10</v>
      </c>
      <c r="B28" s="4" t="s">
        <v>8</v>
      </c>
      <c r="C28" s="33" t="s">
        <v>17</v>
      </c>
      <c r="D28" s="13" cm="1">
        <f t="array" ref="D28">IFERROR(
   _xlfn.XLOOKUP(1,
     (MARKET_DATA!$A:$A=$A28-1)*
     (MARKET_DATA!$B:$B=$B28)*
     (MARKET_DATA!$C:$C=$C28),
     MARKET_DATA!$K:$K),
   0)</f>
        <v>0</v>
      </c>
      <c r="E28" s="13"/>
      <c r="F28" s="13" t="e" cm="1">
        <f t="array" ref="F28">_xlfn.XLOOKUP(1,
   (INPUTS_MASTER!$A:$A=$A28)*
   (INPUTS_MASTER!$B:$B=$B28)*
   (INPUTS_MASTER!$C:$C=$C28),
   INPUTS_MASTER!$L:$L)</f>
        <v>#N/A</v>
      </c>
      <c r="G28" s="13"/>
      <c r="H28" s="13"/>
      <c r="I28" s="13"/>
      <c r="J28" s="13"/>
    </row>
    <row r="29" spans="1:10" x14ac:dyDescent="0.2">
      <c r="A29" s="4">
        <v>11</v>
      </c>
      <c r="B29" s="4" t="s">
        <v>8</v>
      </c>
      <c r="C29" s="33" t="s">
        <v>6</v>
      </c>
      <c r="D29" s="13" cm="1">
        <f t="array" ref="D29">IFERROR(
   _xlfn.XLOOKUP(1,
     (MARKET_DATA!$A:$A=$A29-1)*
     (MARKET_DATA!$B:$B=$B29)*
     (MARKET_DATA!$C:$C=$C29),
     MARKET_DATA!$K:$K),
   0)</f>
        <v>0</v>
      </c>
      <c r="E29" s="13"/>
      <c r="F29" s="13" t="e" cm="1">
        <f t="array" ref="F29">_xlfn.XLOOKUP(1,
   (INPUTS_MASTER!$A:$A=$A29)*
   (INPUTS_MASTER!$B:$B=$B29)*
   (INPUTS_MASTER!$C:$C=$C29),
   INPUTS_MASTER!$L:$L)</f>
        <v>#N/A</v>
      </c>
      <c r="G29" s="13"/>
      <c r="H29" s="13"/>
      <c r="I29" s="13"/>
      <c r="J29" s="13"/>
    </row>
    <row r="30" spans="1:10" x14ac:dyDescent="0.2">
      <c r="A30" s="4">
        <v>11</v>
      </c>
      <c r="B30" s="4" t="s">
        <v>8</v>
      </c>
      <c r="C30" s="33" t="s">
        <v>14</v>
      </c>
      <c r="D30" s="13" cm="1">
        <f t="array" ref="D30">IFERROR(
   _xlfn.XLOOKUP(1,
     (MARKET_DATA!$A:$A=$A30-1)*
     (MARKET_DATA!$B:$B=$B30)*
     (MARKET_DATA!$C:$C=$C30),
     MARKET_DATA!$K:$K),
   0)</f>
        <v>0</v>
      </c>
      <c r="E30" s="13"/>
      <c r="F30" s="13" t="e" cm="1">
        <f t="array" ref="F30">_xlfn.XLOOKUP(1,
   (INPUTS_MASTER!$A:$A=$A30)*
   (INPUTS_MASTER!$B:$B=$B30)*
   (INPUTS_MASTER!$C:$C=$C30),
   INPUTS_MASTER!$L:$L)</f>
        <v>#N/A</v>
      </c>
      <c r="G30" s="13"/>
      <c r="H30" s="13"/>
      <c r="I30" s="13"/>
      <c r="J30" s="13"/>
    </row>
    <row r="31" spans="1:10" x14ac:dyDescent="0.2">
      <c r="A31" s="4">
        <v>11</v>
      </c>
      <c r="B31" s="4" t="s">
        <v>8</v>
      </c>
      <c r="C31" s="33" t="s">
        <v>15</v>
      </c>
      <c r="D31" s="13" cm="1">
        <f t="array" ref="D31">IFERROR(
   _xlfn.XLOOKUP(1,
     (MARKET_DATA!$A:$A=$A31-1)*
     (MARKET_DATA!$B:$B=$B31)*
     (MARKET_DATA!$C:$C=$C31),
     MARKET_DATA!$K:$K),
   0)</f>
        <v>0</v>
      </c>
      <c r="E31" s="13"/>
      <c r="F31" s="13" t="e" cm="1">
        <f t="array" ref="F31">_xlfn.XLOOKUP(1,
   (INPUTS_MASTER!$A:$A=$A31)*
   (INPUTS_MASTER!$B:$B=$B31)*
   (INPUTS_MASTER!$C:$C=$C31),
   INPUTS_MASTER!$L:$L)</f>
        <v>#N/A</v>
      </c>
      <c r="G31" s="13"/>
      <c r="H31" s="13"/>
      <c r="I31" s="13"/>
      <c r="J31" s="13"/>
    </row>
    <row r="32" spans="1:10" x14ac:dyDescent="0.2">
      <c r="A32" s="4">
        <v>11</v>
      </c>
      <c r="B32" s="4" t="s">
        <v>8</v>
      </c>
      <c r="C32" s="33" t="s">
        <v>16</v>
      </c>
      <c r="D32" s="13" cm="1">
        <f t="array" ref="D32">IFERROR(
   _xlfn.XLOOKUP(1,
     (MARKET_DATA!$A:$A=$A32-1)*
     (MARKET_DATA!$B:$B=$B32)*
     (MARKET_DATA!$C:$C=$C32),
     MARKET_DATA!$K:$K),
   0)</f>
        <v>0</v>
      </c>
      <c r="E32" s="13"/>
      <c r="F32" s="13" t="e" cm="1">
        <f t="array" ref="F32">_xlfn.XLOOKUP(1,
   (INPUTS_MASTER!$A:$A=$A32)*
   (INPUTS_MASTER!$B:$B=$B32)*
   (INPUTS_MASTER!$C:$C=$C32),
   INPUTS_MASTER!$L:$L)</f>
        <v>#N/A</v>
      </c>
      <c r="G32" s="13"/>
      <c r="H32" s="13"/>
      <c r="I32" s="13"/>
      <c r="J32" s="13"/>
    </row>
    <row r="33" spans="1:10" x14ac:dyDescent="0.2">
      <c r="A33" s="4">
        <v>11</v>
      </c>
      <c r="B33" s="4" t="s">
        <v>8</v>
      </c>
      <c r="C33" s="33" t="s">
        <v>17</v>
      </c>
      <c r="D33" s="13" cm="1">
        <f t="array" ref="D33">IFERROR(
   _xlfn.XLOOKUP(1,
     (MARKET_DATA!$A:$A=$A33-1)*
     (MARKET_DATA!$B:$B=$B33)*
     (MARKET_DATA!$C:$C=$C33),
     MARKET_DATA!$K:$K),
   0)</f>
        <v>0</v>
      </c>
      <c r="E33" s="13"/>
      <c r="F33" s="13" t="e" cm="1">
        <f t="array" ref="F33">_xlfn.XLOOKUP(1,
   (INPUTS_MASTER!$A:$A=$A33)*
   (INPUTS_MASTER!$B:$B=$B33)*
   (INPUTS_MASTER!$C:$C=$C33),
   INPUTS_MASTER!$L:$L)</f>
        <v>#N/A</v>
      </c>
      <c r="G33" s="13"/>
      <c r="H33" s="13"/>
      <c r="I33" s="13"/>
      <c r="J33" s="13"/>
    </row>
    <row r="34" spans="1:10" x14ac:dyDescent="0.2">
      <c r="A34" s="4">
        <v>12</v>
      </c>
      <c r="B34" s="4" t="s">
        <v>8</v>
      </c>
      <c r="C34" s="33" t="s">
        <v>6</v>
      </c>
      <c r="D34" s="13" cm="1">
        <f t="array" ref="D34">IFERROR(
   _xlfn.XLOOKUP(1,
     (MARKET_DATA!$A:$A=$A34-1)*
     (MARKET_DATA!$B:$B=$B34)*
     (MARKET_DATA!$C:$C=$C34),
     MARKET_DATA!$K:$K),
   0)</f>
        <v>0</v>
      </c>
      <c r="E34" s="13"/>
      <c r="F34" s="13" t="e" cm="1">
        <f t="array" ref="F34">_xlfn.XLOOKUP(1,
   (INPUTS_MASTER!$A:$A=$A34)*
   (INPUTS_MASTER!$B:$B=$B34)*
   (INPUTS_MASTER!$C:$C=$C34),
   INPUTS_MASTER!$L:$L)</f>
        <v>#N/A</v>
      </c>
      <c r="G34" s="13"/>
      <c r="H34" s="13"/>
      <c r="I34" s="13"/>
      <c r="J34" s="13"/>
    </row>
    <row r="35" spans="1:10" x14ac:dyDescent="0.2">
      <c r="A35" s="4">
        <v>12</v>
      </c>
      <c r="B35" s="4" t="s">
        <v>8</v>
      </c>
      <c r="C35" s="33" t="s">
        <v>14</v>
      </c>
      <c r="D35" s="13" cm="1">
        <f t="array" ref="D35">IFERROR(
   _xlfn.XLOOKUP(1,
     (MARKET_DATA!$A:$A=$A35-1)*
     (MARKET_DATA!$B:$B=$B35)*
     (MARKET_DATA!$C:$C=$C35),
     MARKET_DATA!$K:$K),
   0)</f>
        <v>0</v>
      </c>
      <c r="E35" s="13"/>
      <c r="F35" s="13" t="e" cm="1">
        <f t="array" ref="F35">_xlfn.XLOOKUP(1,
   (INPUTS_MASTER!$A:$A=$A35)*
   (INPUTS_MASTER!$B:$B=$B35)*
   (INPUTS_MASTER!$C:$C=$C35),
   INPUTS_MASTER!$L:$L)</f>
        <v>#N/A</v>
      </c>
      <c r="G35" s="13"/>
      <c r="H35" s="13"/>
      <c r="I35" s="13"/>
      <c r="J35" s="13"/>
    </row>
    <row r="36" spans="1:10" x14ac:dyDescent="0.2">
      <c r="A36" s="4">
        <v>12</v>
      </c>
      <c r="B36" s="4" t="s">
        <v>8</v>
      </c>
      <c r="C36" s="33" t="s">
        <v>15</v>
      </c>
      <c r="D36" s="13" cm="1">
        <f t="array" ref="D36">IFERROR(
   _xlfn.XLOOKUP(1,
     (MARKET_DATA!$A:$A=$A36-1)*
     (MARKET_DATA!$B:$B=$B36)*
     (MARKET_DATA!$C:$C=$C36),
     MARKET_DATA!$K:$K),
   0)</f>
        <v>0</v>
      </c>
      <c r="E36" s="13"/>
      <c r="F36" s="13" t="e" cm="1">
        <f t="array" ref="F36">_xlfn.XLOOKUP(1,
   (INPUTS_MASTER!$A:$A=$A36)*
   (INPUTS_MASTER!$B:$B=$B36)*
   (INPUTS_MASTER!$C:$C=$C36),
   INPUTS_MASTER!$L:$L)</f>
        <v>#N/A</v>
      </c>
      <c r="G36" s="13"/>
      <c r="H36" s="13"/>
      <c r="I36" s="13"/>
      <c r="J36" s="13"/>
    </row>
    <row r="37" spans="1:10" x14ac:dyDescent="0.2">
      <c r="A37" s="4">
        <v>12</v>
      </c>
      <c r="B37" s="4" t="s">
        <v>8</v>
      </c>
      <c r="C37" s="33" t="s">
        <v>16</v>
      </c>
      <c r="D37" s="13" cm="1">
        <f t="array" ref="D37">IFERROR(
   _xlfn.XLOOKUP(1,
     (MARKET_DATA!$A:$A=$A37-1)*
     (MARKET_DATA!$B:$B=$B37)*
     (MARKET_DATA!$C:$C=$C37),
     MARKET_DATA!$K:$K),
   0)</f>
        <v>0</v>
      </c>
      <c r="E37" s="13"/>
      <c r="F37" s="13" t="e" cm="1">
        <f t="array" ref="F37">_xlfn.XLOOKUP(1,
   (INPUTS_MASTER!$A:$A=$A37)*
   (INPUTS_MASTER!$B:$B=$B37)*
   (INPUTS_MASTER!$C:$C=$C37),
   INPUTS_MASTER!$L:$L)</f>
        <v>#N/A</v>
      </c>
      <c r="G37" s="13"/>
      <c r="H37" s="13"/>
      <c r="I37" s="13"/>
      <c r="J37" s="13"/>
    </row>
    <row r="38" spans="1:10" x14ac:dyDescent="0.2">
      <c r="A38" s="4">
        <v>12</v>
      </c>
      <c r="B38" s="4" t="s">
        <v>8</v>
      </c>
      <c r="C38" s="33" t="s">
        <v>17</v>
      </c>
      <c r="D38" s="13" cm="1">
        <f t="array" ref="D38">IFERROR(
   _xlfn.XLOOKUP(1,
     (MARKET_DATA!$A:$A=$A38-1)*
     (MARKET_DATA!$B:$B=$B38)*
     (MARKET_DATA!$C:$C=$C38),
     MARKET_DATA!$K:$K),
   0)</f>
        <v>0</v>
      </c>
      <c r="E38" s="13"/>
      <c r="F38" s="13" t="e" cm="1">
        <f t="array" ref="F38">_xlfn.XLOOKUP(1,
   (INPUTS_MASTER!$A:$A=$A38)*
   (INPUTS_MASTER!$B:$B=$B38)*
   (INPUTS_MASTER!$C:$C=$C38),
   INPUTS_MASTER!$L:$L)</f>
        <v>#N/A</v>
      </c>
      <c r="G38" s="13"/>
      <c r="H38" s="13"/>
      <c r="I38" s="13"/>
      <c r="J38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D1B9-3D14-4CC1-AAF5-A60269F6FA0D}">
  <sheetPr>
    <tabColor theme="9" tint="0.79998168889431442"/>
  </sheetPr>
  <dimension ref="A1:N66"/>
  <sheetViews>
    <sheetView workbookViewId="0">
      <selection activeCell="J6" sqref="J6:J15"/>
    </sheetView>
  </sheetViews>
  <sheetFormatPr defaultRowHeight="12" x14ac:dyDescent="0.2"/>
  <cols>
    <col min="1" max="1" width="30.83203125" customWidth="1"/>
    <col min="2" max="3" width="11.83203125" customWidth="1"/>
    <col min="4" max="4" width="9.33203125" customWidth="1"/>
    <col min="5" max="5" width="9.83203125" customWidth="1"/>
    <col min="6" max="6" width="16" customWidth="1"/>
    <col min="7" max="7" width="12.6640625" customWidth="1"/>
    <col min="8" max="10" width="16" customWidth="1"/>
  </cols>
  <sheetData>
    <row r="1" spans="1:14" x14ac:dyDescent="0.2">
      <c r="A1" t="s">
        <v>162</v>
      </c>
      <c r="B1">
        <v>2</v>
      </c>
    </row>
    <row r="2" spans="1:14" x14ac:dyDescent="0.2">
      <c r="A2" t="s">
        <v>161</v>
      </c>
      <c r="B2">
        <v>1</v>
      </c>
    </row>
    <row r="3" spans="1:14" x14ac:dyDescent="0.2">
      <c r="A3" t="s">
        <v>159</v>
      </c>
      <c r="B3">
        <v>50</v>
      </c>
    </row>
    <row r="4" spans="1:14" x14ac:dyDescent="0.2">
      <c r="A4" t="s">
        <v>160</v>
      </c>
      <c r="B4">
        <v>110</v>
      </c>
    </row>
    <row r="6" spans="1:14" s="1" customFormat="1" ht="24" x14ac:dyDescent="0.2">
      <c r="A6" s="34" t="s">
        <v>0</v>
      </c>
      <c r="B6" s="34" t="s">
        <v>1</v>
      </c>
      <c r="C6" s="34" t="s">
        <v>2</v>
      </c>
      <c r="D6" s="35" t="s">
        <v>10</v>
      </c>
      <c r="E6" s="34" t="s">
        <v>88</v>
      </c>
      <c r="F6" s="34" t="s">
        <v>87</v>
      </c>
      <c r="G6" s="34" t="s">
        <v>155</v>
      </c>
      <c r="H6" s="34" t="s">
        <v>156</v>
      </c>
      <c r="I6" s="34" t="s">
        <v>157</v>
      </c>
      <c r="J6" s="34" t="s">
        <v>158</v>
      </c>
    </row>
    <row r="7" spans="1:14" x14ac:dyDescent="0.2">
      <c r="A7" s="4">
        <v>7</v>
      </c>
      <c r="B7" s="4" t="s">
        <v>8</v>
      </c>
      <c r="C7" s="4" t="s">
        <v>6</v>
      </c>
      <c r="D7" s="33" t="s">
        <v>11</v>
      </c>
      <c r="E7" cm="1">
        <f t="array" ref="E7">IFERROR(_xlfn.XLOOKUP(1,
   (INPUTS_MASTER!$A:$A=$A7-1)*
   (INPUTS_MASTER!$B:$B=$B7)*
   (INPUTS_MASTER!$C:$C=$C7),
   INPUTS_MASTER!$E:$E),0)</f>
        <v>68</v>
      </c>
      <c r="F7" s="8">
        <f>AVERAGEIFS(MARKET_DATA!H:H,
MARKET_DATA!$A:$A,$A7-1,
MARKET_DATA!$C:$C,$C7)</f>
        <v>68</v>
      </c>
      <c r="G7" s="8">
        <f>IFERROR(+F7/E7,0)</f>
        <v>1</v>
      </c>
      <c r="H7" s="8">
        <f t="shared" ref="H7:H16" si="0">+IF(D7="High", $B$2, $B$1)</f>
        <v>1</v>
      </c>
      <c r="I7" s="8">
        <f>100 * (G7^H7)</f>
        <v>100</v>
      </c>
      <c r="J7" s="8">
        <f t="shared" ref="J7:J16" si="1">+MIN($B$4,MAX($B$3, I7))</f>
        <v>100</v>
      </c>
      <c r="K7" s="11"/>
      <c r="N7" s="1"/>
    </row>
    <row r="8" spans="1:14" x14ac:dyDescent="0.2">
      <c r="A8" s="4">
        <v>7</v>
      </c>
      <c r="B8" s="4" t="s">
        <v>8</v>
      </c>
      <c r="C8" s="4" t="s">
        <v>14</v>
      </c>
      <c r="D8" s="33" t="s">
        <v>11</v>
      </c>
      <c r="E8" cm="1">
        <f t="array" ref="E8">IFERROR(_xlfn.XLOOKUP(1,
   (INPUTS_MASTER!$A:$A=$A8-1)*
   (INPUTS_MASTER!$B:$B=$B8)*
   (INPUTS_MASTER!$C:$C=$C8),
   INPUTS_MASTER!$E:$E),0)</f>
        <v>68</v>
      </c>
      <c r="F8" s="8">
        <f>AVERAGEIFS(MARKET_DATA!H:H,
MARKET_DATA!$A:$A,$A8-1,
MARKET_DATA!$C:$C,$C8)</f>
        <v>68</v>
      </c>
      <c r="G8" s="8">
        <f t="shared" ref="G8:G16" si="2">IFERROR(+F8/E8,0)</f>
        <v>1</v>
      </c>
      <c r="H8" s="8">
        <f t="shared" si="0"/>
        <v>1</v>
      </c>
      <c r="I8" s="8">
        <f t="shared" ref="I8:I16" si="3">100 * (G8^H8)</f>
        <v>100</v>
      </c>
      <c r="J8" s="8">
        <f t="shared" si="1"/>
        <v>100</v>
      </c>
      <c r="N8" s="1"/>
    </row>
    <row r="9" spans="1:14" x14ac:dyDescent="0.2">
      <c r="A9" s="4">
        <v>7</v>
      </c>
      <c r="B9" s="4" t="s">
        <v>8</v>
      </c>
      <c r="C9" s="4" t="s">
        <v>15</v>
      </c>
      <c r="D9" s="33" t="s">
        <v>11</v>
      </c>
      <c r="E9" cm="1">
        <f t="array" ref="E9">IFERROR(_xlfn.XLOOKUP(1,
   (INPUTS_MASTER!$A:$A=$A9-1)*
   (INPUTS_MASTER!$B:$B=$B9)*
   (INPUTS_MASTER!$C:$C=$C9),
   INPUTS_MASTER!$E:$E),0)</f>
        <v>91</v>
      </c>
      <c r="F9" s="8">
        <f>AVERAGEIFS(MARKET_DATA!H:H,
MARKET_DATA!$A:$A,$A9-1,
MARKET_DATA!$C:$C,$C9)</f>
        <v>91</v>
      </c>
      <c r="G9" s="8">
        <f t="shared" si="2"/>
        <v>1</v>
      </c>
      <c r="H9" s="8">
        <f t="shared" si="0"/>
        <v>1</v>
      </c>
      <c r="I9" s="8">
        <f t="shared" si="3"/>
        <v>100</v>
      </c>
      <c r="J9" s="8">
        <f t="shared" si="1"/>
        <v>100</v>
      </c>
      <c r="N9" s="1"/>
    </row>
    <row r="10" spans="1:14" x14ac:dyDescent="0.2">
      <c r="A10" s="4">
        <v>7</v>
      </c>
      <c r="B10" s="4" t="s">
        <v>8</v>
      </c>
      <c r="C10" s="4" t="s">
        <v>16</v>
      </c>
      <c r="D10" s="33" t="s">
        <v>11</v>
      </c>
      <c r="E10" cm="1">
        <f t="array" ref="E10">IFERROR(_xlfn.XLOOKUP(1,
   (INPUTS_MASTER!$A:$A=$A10-1)*
   (INPUTS_MASTER!$B:$B=$B10)*
   (INPUTS_MASTER!$C:$C=$C10),
   INPUTS_MASTER!$E:$E),0)</f>
        <v>0</v>
      </c>
      <c r="F10" s="8">
        <f>AVERAGEIFS(MARKET_DATA!H:H,
MARKET_DATA!$A:$A,$A10-1,
MARKET_DATA!$C:$C,$C10)</f>
        <v>0</v>
      </c>
      <c r="G10" s="8">
        <f t="shared" si="2"/>
        <v>0</v>
      </c>
      <c r="H10" s="8">
        <f t="shared" si="0"/>
        <v>1</v>
      </c>
      <c r="I10" s="8">
        <f t="shared" si="3"/>
        <v>0</v>
      </c>
      <c r="J10" s="8">
        <f t="shared" si="1"/>
        <v>50</v>
      </c>
      <c r="N10" s="1"/>
    </row>
    <row r="11" spans="1:14" x14ac:dyDescent="0.2">
      <c r="A11" s="4">
        <v>7</v>
      </c>
      <c r="B11" s="4" t="s">
        <v>8</v>
      </c>
      <c r="C11" s="4" t="s">
        <v>17</v>
      </c>
      <c r="D11" s="33" t="s">
        <v>11</v>
      </c>
      <c r="E11" cm="1">
        <f t="array" ref="E11">IFERROR(_xlfn.XLOOKUP(1,
   (INPUTS_MASTER!$A:$A=$A11-1)*
   (INPUTS_MASTER!$B:$B=$B11)*
   (INPUTS_MASTER!$C:$C=$C11),
   INPUTS_MASTER!$E:$E),0)</f>
        <v>0</v>
      </c>
      <c r="F11" s="8">
        <f>AVERAGEIFS(MARKET_DATA!H:H,
MARKET_DATA!$A:$A,$A11-1,
MARKET_DATA!$C:$C,$C11)</f>
        <v>0</v>
      </c>
      <c r="G11" s="8">
        <f t="shared" si="2"/>
        <v>0</v>
      </c>
      <c r="H11" s="8">
        <f t="shared" si="0"/>
        <v>1</v>
      </c>
      <c r="I11" s="8">
        <f t="shared" si="3"/>
        <v>0</v>
      </c>
      <c r="J11" s="8">
        <f t="shared" si="1"/>
        <v>50</v>
      </c>
      <c r="N11" s="1"/>
    </row>
    <row r="12" spans="1:14" x14ac:dyDescent="0.2">
      <c r="A12" s="4">
        <v>7</v>
      </c>
      <c r="B12" s="4" t="s">
        <v>8</v>
      </c>
      <c r="C12" s="4" t="s">
        <v>6</v>
      </c>
      <c r="D12" s="33" t="s">
        <v>12</v>
      </c>
      <c r="E12" cm="1">
        <f t="array" ref="E12">IFERROR(_xlfn.XLOOKUP(1,
   (INPUTS_MASTER!$A:$A=$A12-1)*
   (INPUTS_MASTER!$B:$B=$B12)*
   (INPUTS_MASTER!$C:$C=$C12),
   INPUTS_MASTER!$E:$E),0)</f>
        <v>68</v>
      </c>
      <c r="F12" s="8">
        <f>AVERAGEIFS(MARKET_DATA!H:H,
MARKET_DATA!$A:$A,$A12-1,
MARKET_DATA!$C:$C,$C12)</f>
        <v>68</v>
      </c>
      <c r="G12" s="8">
        <f t="shared" si="2"/>
        <v>1</v>
      </c>
      <c r="H12" s="8">
        <f t="shared" si="0"/>
        <v>2</v>
      </c>
      <c r="I12" s="8">
        <f t="shared" si="3"/>
        <v>100</v>
      </c>
      <c r="J12" s="8">
        <f t="shared" si="1"/>
        <v>100</v>
      </c>
      <c r="N12" s="1"/>
    </row>
    <row r="13" spans="1:14" x14ac:dyDescent="0.2">
      <c r="A13" s="4">
        <v>7</v>
      </c>
      <c r="B13" s="4" t="s">
        <v>8</v>
      </c>
      <c r="C13" s="4" t="s">
        <v>14</v>
      </c>
      <c r="D13" s="33" t="s">
        <v>12</v>
      </c>
      <c r="E13" cm="1">
        <f t="array" ref="E13">IFERROR(_xlfn.XLOOKUP(1,
   (INPUTS_MASTER!$A:$A=$A13-1)*
   (INPUTS_MASTER!$B:$B=$B13)*
   (INPUTS_MASTER!$C:$C=$C13),
   INPUTS_MASTER!$E:$E),0)</f>
        <v>68</v>
      </c>
      <c r="F13" s="8">
        <f>AVERAGEIFS(MARKET_DATA!H:H,
MARKET_DATA!$A:$A,$A13-1,
MARKET_DATA!$C:$C,$C13)</f>
        <v>68</v>
      </c>
      <c r="G13" s="8">
        <f t="shared" si="2"/>
        <v>1</v>
      </c>
      <c r="H13" s="8">
        <f t="shared" si="0"/>
        <v>2</v>
      </c>
      <c r="I13" s="8">
        <f t="shared" si="3"/>
        <v>100</v>
      </c>
      <c r="J13" s="8">
        <f t="shared" si="1"/>
        <v>100</v>
      </c>
      <c r="N13" s="1"/>
    </row>
    <row r="14" spans="1:14" x14ac:dyDescent="0.2">
      <c r="A14" s="4">
        <v>7</v>
      </c>
      <c r="B14" s="4" t="s">
        <v>8</v>
      </c>
      <c r="C14" s="4" t="s">
        <v>15</v>
      </c>
      <c r="D14" s="33" t="s">
        <v>12</v>
      </c>
      <c r="E14" cm="1">
        <f t="array" ref="E14">IFERROR(_xlfn.XLOOKUP(1,
   (INPUTS_MASTER!$A:$A=$A14-1)*
   (INPUTS_MASTER!$B:$B=$B14)*
   (INPUTS_MASTER!$C:$C=$C14),
   INPUTS_MASTER!$E:$E),0)</f>
        <v>91</v>
      </c>
      <c r="F14" s="8">
        <f>AVERAGEIFS(MARKET_DATA!H:H,
MARKET_DATA!$A:$A,$A14-1,
MARKET_DATA!$C:$C,$C14)</f>
        <v>91</v>
      </c>
      <c r="G14" s="8">
        <f t="shared" si="2"/>
        <v>1</v>
      </c>
      <c r="H14" s="8">
        <f t="shared" si="0"/>
        <v>2</v>
      </c>
      <c r="I14" s="8">
        <f t="shared" si="3"/>
        <v>100</v>
      </c>
      <c r="J14" s="8">
        <f t="shared" si="1"/>
        <v>100</v>
      </c>
      <c r="N14" s="1"/>
    </row>
    <row r="15" spans="1:14" x14ac:dyDescent="0.2">
      <c r="A15" s="4">
        <v>7</v>
      </c>
      <c r="B15" s="4" t="s">
        <v>8</v>
      </c>
      <c r="C15" s="4" t="s">
        <v>16</v>
      </c>
      <c r="D15" s="33" t="s">
        <v>12</v>
      </c>
      <c r="E15" cm="1">
        <f t="array" ref="E15">IFERROR(_xlfn.XLOOKUP(1,
   (INPUTS_MASTER!$A:$A=$A15-1)*
   (INPUTS_MASTER!$B:$B=$B15)*
   (INPUTS_MASTER!$C:$C=$C15),
   INPUTS_MASTER!$E:$E),0)</f>
        <v>0</v>
      </c>
      <c r="F15" s="8">
        <f>AVERAGEIFS(MARKET_DATA!H:H,
MARKET_DATA!$A:$A,$A15-1,
MARKET_DATA!$C:$C,$C15)</f>
        <v>0</v>
      </c>
      <c r="G15" s="8">
        <f t="shared" si="2"/>
        <v>0</v>
      </c>
      <c r="H15" s="8">
        <f t="shared" si="0"/>
        <v>2</v>
      </c>
      <c r="I15" s="8">
        <f t="shared" si="3"/>
        <v>0</v>
      </c>
      <c r="J15" s="8">
        <f t="shared" si="1"/>
        <v>50</v>
      </c>
      <c r="N15" s="1"/>
    </row>
    <row r="16" spans="1:14" x14ac:dyDescent="0.2">
      <c r="A16" s="4">
        <v>7</v>
      </c>
      <c r="B16" s="4" t="s">
        <v>8</v>
      </c>
      <c r="C16" s="4" t="s">
        <v>17</v>
      </c>
      <c r="D16" s="33" t="s">
        <v>12</v>
      </c>
      <c r="E16" cm="1">
        <f t="array" ref="E16">IFERROR(_xlfn.XLOOKUP(1,
   (INPUTS_MASTER!$A:$A=$A16-1)*
   (INPUTS_MASTER!$B:$B=$B16)*
   (INPUTS_MASTER!$C:$C=$C16),
   INPUTS_MASTER!$E:$E),0)</f>
        <v>0</v>
      </c>
      <c r="F16" s="8">
        <f>AVERAGEIFS(MARKET_DATA!H:H,
MARKET_DATA!$A:$A,$A16-1,
MARKET_DATA!$C:$C,$C16)</f>
        <v>0</v>
      </c>
      <c r="G16" s="8">
        <f t="shared" si="2"/>
        <v>0</v>
      </c>
      <c r="H16" s="8">
        <f t="shared" si="0"/>
        <v>2</v>
      </c>
      <c r="I16" s="8">
        <f t="shared" si="3"/>
        <v>0</v>
      </c>
      <c r="J16" s="8">
        <f t="shared" si="1"/>
        <v>50</v>
      </c>
      <c r="N16" s="1"/>
    </row>
    <row r="17" spans="1:14" x14ac:dyDescent="0.2">
      <c r="A17" s="4">
        <v>8</v>
      </c>
      <c r="B17" s="4" t="s">
        <v>8</v>
      </c>
      <c r="C17" s="4" t="s">
        <v>6</v>
      </c>
      <c r="D17" s="33" t="s">
        <v>11</v>
      </c>
      <c r="E17" cm="1">
        <f t="array" ref="E17">IFERROR(_xlfn.XLOOKUP(1,
   (INPUTS_MASTER!$A:$A=$A17-1)*
   (INPUTS_MASTER!$B:$B=$B17)*
   (INPUTS_MASTER!$C:$C=$C17),
   INPUTS_MASTER!$E:$E),0)</f>
        <v>69</v>
      </c>
      <c r="F17" s="8" t="e">
        <f>AVERAGEIFS(MARKET_DATA!H:H,
MARKET_DATA!$A:$A,$A17-1,
MARKET_DATA!$C:$C,$C17)</f>
        <v>#DIV/0!</v>
      </c>
      <c r="G17" s="8">
        <f t="shared" ref="G17:G41" si="4">IFERROR(+F17/E17,0)</f>
        <v>0</v>
      </c>
      <c r="H17" s="8"/>
      <c r="I17" s="8"/>
      <c r="J17" s="8"/>
      <c r="N17" s="1"/>
    </row>
    <row r="18" spans="1:14" x14ac:dyDescent="0.2">
      <c r="A18" s="4">
        <v>8</v>
      </c>
      <c r="B18" s="4" t="s">
        <v>8</v>
      </c>
      <c r="C18" s="4" t="s">
        <v>14</v>
      </c>
      <c r="D18" s="33" t="s">
        <v>11</v>
      </c>
      <c r="E18" cm="1">
        <f t="array" ref="E18">IFERROR(_xlfn.XLOOKUP(1,
   (INPUTS_MASTER!$A:$A=$A18-1)*
   (INPUTS_MASTER!$B:$B=$B18)*
   (INPUTS_MASTER!$C:$C=$C18),
   INPUTS_MASTER!$E:$E),0)</f>
        <v>69</v>
      </c>
      <c r="F18" s="8" t="e">
        <f>AVERAGEIFS(MARKET_DATA!H:H,
MARKET_DATA!$A:$A,$A18-1,
MARKET_DATA!$C:$C,$C18)</f>
        <v>#DIV/0!</v>
      </c>
      <c r="G18" s="8">
        <f t="shared" si="4"/>
        <v>0</v>
      </c>
      <c r="H18" s="8"/>
      <c r="I18" s="8"/>
      <c r="J18" s="8"/>
      <c r="N18" s="1"/>
    </row>
    <row r="19" spans="1:14" x14ac:dyDescent="0.2">
      <c r="A19" s="4">
        <v>8</v>
      </c>
      <c r="B19" s="4" t="s">
        <v>8</v>
      </c>
      <c r="C19" s="4" t="s">
        <v>15</v>
      </c>
      <c r="D19" s="33" t="s">
        <v>11</v>
      </c>
      <c r="E19" cm="1">
        <f t="array" ref="E19">IFERROR(_xlfn.XLOOKUP(1,
   (INPUTS_MASTER!$A:$A=$A19-1)*
   (INPUTS_MASTER!$B:$B=$B19)*
   (INPUTS_MASTER!$C:$C=$C19),
   INPUTS_MASTER!$E:$E),0)</f>
        <v>92</v>
      </c>
      <c r="F19" s="8" t="e">
        <f>AVERAGEIFS(MARKET_DATA!H:H,
MARKET_DATA!$A:$A,$A19-1,
MARKET_DATA!$C:$C,$C19)</f>
        <v>#DIV/0!</v>
      </c>
      <c r="G19" s="8">
        <f t="shared" si="4"/>
        <v>0</v>
      </c>
      <c r="H19" s="8"/>
      <c r="I19" s="8"/>
      <c r="J19" s="8"/>
      <c r="N19" s="1"/>
    </row>
    <row r="20" spans="1:14" x14ac:dyDescent="0.2">
      <c r="A20" s="4">
        <v>8</v>
      </c>
      <c r="B20" s="4" t="s">
        <v>8</v>
      </c>
      <c r="C20" s="4" t="s">
        <v>16</v>
      </c>
      <c r="D20" s="33" t="s">
        <v>11</v>
      </c>
      <c r="E20" cm="1">
        <f t="array" ref="E20">IFERROR(_xlfn.XLOOKUP(1,
   (INPUTS_MASTER!$A:$A=$A20-1)*
   (INPUTS_MASTER!$B:$B=$B20)*
   (INPUTS_MASTER!$C:$C=$C20),
   INPUTS_MASTER!$E:$E),0)</f>
        <v>65</v>
      </c>
      <c r="F20" s="8" t="e">
        <f>AVERAGEIFS(MARKET_DATA!H:H,
MARKET_DATA!$A:$A,$A20-1,
MARKET_DATA!$C:$C,$C20)</f>
        <v>#DIV/0!</v>
      </c>
      <c r="G20" s="8">
        <f t="shared" si="4"/>
        <v>0</v>
      </c>
      <c r="H20" s="8"/>
      <c r="I20" s="8"/>
      <c r="J20" s="8"/>
      <c r="N20" s="1"/>
    </row>
    <row r="21" spans="1:14" x14ac:dyDescent="0.2">
      <c r="A21" s="4">
        <v>8</v>
      </c>
      <c r="B21" s="4" t="s">
        <v>8</v>
      </c>
      <c r="C21" s="4" t="s">
        <v>17</v>
      </c>
      <c r="D21" s="33" t="s">
        <v>11</v>
      </c>
      <c r="E21" cm="1">
        <f t="array" ref="E21">IFERROR(_xlfn.XLOOKUP(1,
   (INPUTS_MASTER!$A:$A=$A21-1)*
   (INPUTS_MASTER!$B:$B=$B21)*
   (INPUTS_MASTER!$C:$C=$C21),
   INPUTS_MASTER!$E:$E),0)</f>
        <v>65</v>
      </c>
      <c r="F21" s="8" t="e">
        <f>AVERAGEIFS(MARKET_DATA!H:H,
MARKET_DATA!$A:$A,$A21-1,
MARKET_DATA!$C:$C,$C21)</f>
        <v>#DIV/0!</v>
      </c>
      <c r="G21" s="8">
        <f t="shared" si="4"/>
        <v>0</v>
      </c>
      <c r="H21" s="8"/>
      <c r="I21" s="8"/>
      <c r="J21" s="8"/>
      <c r="N21" s="1"/>
    </row>
    <row r="22" spans="1:14" x14ac:dyDescent="0.2">
      <c r="A22" s="4">
        <v>9</v>
      </c>
      <c r="B22" s="4" t="s">
        <v>8</v>
      </c>
      <c r="C22" s="4" t="s">
        <v>6</v>
      </c>
      <c r="D22" s="33" t="s">
        <v>11</v>
      </c>
      <c r="E22" cm="1">
        <f t="array" ref="E22">IFERROR(_xlfn.XLOOKUP(1,
   (INPUTS_MASTER!$A:$A=$A22-1)*
   (INPUTS_MASTER!$B:$B=$B22)*
   (INPUTS_MASTER!$C:$C=$C22),
   INPUTS_MASTER!$E:$E),0)</f>
        <v>0</v>
      </c>
      <c r="F22" s="8" t="e">
        <f>AVERAGEIFS(MARKET_DATA!H:H,
MARKET_DATA!$A:$A,$A22-1,
MARKET_DATA!$C:$C,$C22)</f>
        <v>#DIV/0!</v>
      </c>
      <c r="G22" s="8">
        <f t="shared" si="4"/>
        <v>0</v>
      </c>
      <c r="H22" s="8"/>
      <c r="I22" s="8"/>
      <c r="J22" s="8"/>
      <c r="N22" s="1"/>
    </row>
    <row r="23" spans="1:14" x14ac:dyDescent="0.2">
      <c r="A23" s="4">
        <v>9</v>
      </c>
      <c r="B23" s="4" t="s">
        <v>8</v>
      </c>
      <c r="C23" s="4" t="s">
        <v>14</v>
      </c>
      <c r="D23" s="33" t="s">
        <v>11</v>
      </c>
      <c r="E23" cm="1">
        <f t="array" ref="E23">IFERROR(_xlfn.XLOOKUP(1,
   (INPUTS_MASTER!$A:$A=$A23-1)*
   (INPUTS_MASTER!$B:$B=$B23)*
   (INPUTS_MASTER!$C:$C=$C23),
   INPUTS_MASTER!$E:$E),0)</f>
        <v>0</v>
      </c>
      <c r="F23" s="8" t="e">
        <f>AVERAGEIFS(MARKET_DATA!H:H,
MARKET_DATA!$A:$A,$A23-1,
MARKET_DATA!$C:$C,$C23)</f>
        <v>#DIV/0!</v>
      </c>
      <c r="G23" s="8">
        <f t="shared" si="4"/>
        <v>0</v>
      </c>
      <c r="H23" s="8"/>
      <c r="I23" s="8"/>
      <c r="J23" s="8"/>
      <c r="N23" s="1"/>
    </row>
    <row r="24" spans="1:14" x14ac:dyDescent="0.2">
      <c r="A24" s="4">
        <v>9</v>
      </c>
      <c r="B24" s="4" t="s">
        <v>8</v>
      </c>
      <c r="C24" s="4" t="s">
        <v>15</v>
      </c>
      <c r="D24" s="33" t="s">
        <v>11</v>
      </c>
      <c r="E24" cm="1">
        <f t="array" ref="E24">IFERROR(_xlfn.XLOOKUP(1,
   (INPUTS_MASTER!$A:$A=$A24-1)*
   (INPUTS_MASTER!$B:$B=$B24)*
   (INPUTS_MASTER!$C:$C=$C24),
   INPUTS_MASTER!$E:$E),0)</f>
        <v>0</v>
      </c>
      <c r="F24" s="8" t="e">
        <f>AVERAGEIFS(MARKET_DATA!H:H,
MARKET_DATA!$A:$A,$A24-1,
MARKET_DATA!$C:$C,$C24)</f>
        <v>#DIV/0!</v>
      </c>
      <c r="G24" s="8">
        <f t="shared" si="4"/>
        <v>0</v>
      </c>
      <c r="H24" s="8"/>
      <c r="I24" s="8"/>
      <c r="J24" s="8"/>
      <c r="N24" s="1"/>
    </row>
    <row r="25" spans="1:14" x14ac:dyDescent="0.2">
      <c r="A25" s="4">
        <v>9</v>
      </c>
      <c r="B25" s="4" t="s">
        <v>8</v>
      </c>
      <c r="C25" s="4" t="s">
        <v>16</v>
      </c>
      <c r="D25" s="33" t="s">
        <v>11</v>
      </c>
      <c r="E25" cm="1">
        <f t="array" ref="E25">IFERROR(_xlfn.XLOOKUP(1,
   (INPUTS_MASTER!$A:$A=$A25-1)*
   (INPUTS_MASTER!$B:$B=$B25)*
   (INPUTS_MASTER!$C:$C=$C25),
   INPUTS_MASTER!$E:$E),0)</f>
        <v>0</v>
      </c>
      <c r="F25" s="8" t="e">
        <f>AVERAGEIFS(MARKET_DATA!H:H,
MARKET_DATA!$A:$A,$A25-1,
MARKET_DATA!$C:$C,$C25)</f>
        <v>#DIV/0!</v>
      </c>
      <c r="G25" s="8">
        <f t="shared" si="4"/>
        <v>0</v>
      </c>
      <c r="H25" s="8"/>
      <c r="I25" s="8"/>
      <c r="J25" s="8"/>
    </row>
    <row r="26" spans="1:14" x14ac:dyDescent="0.2">
      <c r="A26" s="4">
        <v>9</v>
      </c>
      <c r="B26" s="4" t="s">
        <v>8</v>
      </c>
      <c r="C26" s="4" t="s">
        <v>17</v>
      </c>
      <c r="D26" s="33" t="s">
        <v>11</v>
      </c>
      <c r="E26" cm="1">
        <f t="array" ref="E26">IFERROR(_xlfn.XLOOKUP(1,
   (INPUTS_MASTER!$A:$A=$A26-1)*
   (INPUTS_MASTER!$B:$B=$B26)*
   (INPUTS_MASTER!$C:$C=$C26),
   INPUTS_MASTER!$E:$E),0)</f>
        <v>0</v>
      </c>
      <c r="F26" s="8" t="e">
        <f>AVERAGEIFS(MARKET_DATA!H:H,
MARKET_DATA!$A:$A,$A26-1,
MARKET_DATA!$C:$C,$C26)</f>
        <v>#DIV/0!</v>
      </c>
      <c r="G26" s="8">
        <f t="shared" si="4"/>
        <v>0</v>
      </c>
      <c r="H26" s="8"/>
      <c r="I26" s="8"/>
      <c r="J26" s="8"/>
    </row>
    <row r="27" spans="1:14" x14ac:dyDescent="0.2">
      <c r="A27" s="4">
        <v>10</v>
      </c>
      <c r="B27" s="4" t="s">
        <v>8</v>
      </c>
      <c r="C27" s="4" t="s">
        <v>6</v>
      </c>
      <c r="D27" s="33" t="s">
        <v>11</v>
      </c>
      <c r="E27" cm="1">
        <f t="array" ref="E27">IFERROR(_xlfn.XLOOKUP(1,
   (INPUTS_MASTER!$A:$A=$A27-1)*
   (INPUTS_MASTER!$B:$B=$B27)*
   (INPUTS_MASTER!$C:$C=$C27),
   INPUTS_MASTER!$E:$E),0)</f>
        <v>0</v>
      </c>
      <c r="F27" s="8" t="e">
        <f>AVERAGEIFS(MARKET_DATA!H:H,
MARKET_DATA!$A:$A,$A27-1,
MARKET_DATA!$C:$C,$C27)</f>
        <v>#DIV/0!</v>
      </c>
      <c r="G27" s="8">
        <f t="shared" si="4"/>
        <v>0</v>
      </c>
      <c r="H27" s="8"/>
      <c r="I27" s="8"/>
      <c r="J27" s="8"/>
    </row>
    <row r="28" spans="1:14" x14ac:dyDescent="0.2">
      <c r="A28" s="4">
        <v>10</v>
      </c>
      <c r="B28" s="4" t="s">
        <v>8</v>
      </c>
      <c r="C28" s="4" t="s">
        <v>14</v>
      </c>
      <c r="D28" s="33" t="s">
        <v>11</v>
      </c>
      <c r="E28" cm="1">
        <f t="array" ref="E28">IFERROR(_xlfn.XLOOKUP(1,
   (INPUTS_MASTER!$A:$A=$A28-1)*
   (INPUTS_MASTER!$B:$B=$B28)*
   (INPUTS_MASTER!$C:$C=$C28),
   INPUTS_MASTER!$E:$E),0)</f>
        <v>0</v>
      </c>
      <c r="F28" s="8" t="e">
        <f>AVERAGEIFS(MARKET_DATA!H:H,
MARKET_DATA!$A:$A,$A28-1,
MARKET_DATA!$C:$C,$C28)</f>
        <v>#DIV/0!</v>
      </c>
      <c r="G28" s="8">
        <f t="shared" si="4"/>
        <v>0</v>
      </c>
      <c r="H28" s="8"/>
      <c r="I28" s="8"/>
      <c r="J28" s="8"/>
    </row>
    <row r="29" spans="1:14" x14ac:dyDescent="0.2">
      <c r="A29" s="4">
        <v>10</v>
      </c>
      <c r="B29" s="4" t="s">
        <v>8</v>
      </c>
      <c r="C29" s="4" t="s">
        <v>15</v>
      </c>
      <c r="D29" s="33" t="s">
        <v>11</v>
      </c>
      <c r="E29" cm="1">
        <f t="array" ref="E29">IFERROR(_xlfn.XLOOKUP(1,
   (INPUTS_MASTER!$A:$A=$A29-1)*
   (INPUTS_MASTER!$B:$B=$B29)*
   (INPUTS_MASTER!$C:$C=$C29),
   INPUTS_MASTER!$E:$E),0)</f>
        <v>0</v>
      </c>
      <c r="F29" s="8" t="e">
        <f>AVERAGEIFS(MARKET_DATA!H:H,
MARKET_DATA!$A:$A,$A29-1,
MARKET_DATA!$C:$C,$C29)</f>
        <v>#DIV/0!</v>
      </c>
      <c r="G29" s="8">
        <f t="shared" si="4"/>
        <v>0</v>
      </c>
      <c r="H29" s="8"/>
      <c r="I29" s="8"/>
      <c r="J29" s="8"/>
    </row>
    <row r="30" spans="1:14" x14ac:dyDescent="0.2">
      <c r="A30" s="4">
        <v>10</v>
      </c>
      <c r="B30" s="4" t="s">
        <v>8</v>
      </c>
      <c r="C30" s="4" t="s">
        <v>16</v>
      </c>
      <c r="D30" s="33" t="s">
        <v>11</v>
      </c>
      <c r="E30" cm="1">
        <f t="array" ref="E30">IFERROR(_xlfn.XLOOKUP(1,
   (INPUTS_MASTER!$A:$A=$A30-1)*
   (INPUTS_MASTER!$B:$B=$B30)*
   (INPUTS_MASTER!$C:$C=$C30),
   INPUTS_MASTER!$E:$E),0)</f>
        <v>0</v>
      </c>
      <c r="F30" s="8" t="e">
        <f>AVERAGEIFS(MARKET_DATA!H:H,
MARKET_DATA!$A:$A,$A30-1,
MARKET_DATA!$C:$C,$C30)</f>
        <v>#DIV/0!</v>
      </c>
      <c r="G30" s="8">
        <f t="shared" si="4"/>
        <v>0</v>
      </c>
      <c r="H30" s="8"/>
      <c r="I30" s="8"/>
      <c r="J30" s="8"/>
    </row>
    <row r="31" spans="1:14" x14ac:dyDescent="0.2">
      <c r="A31" s="4">
        <v>10</v>
      </c>
      <c r="B31" s="4" t="s">
        <v>8</v>
      </c>
      <c r="C31" s="4" t="s">
        <v>17</v>
      </c>
      <c r="D31" s="33" t="s">
        <v>11</v>
      </c>
      <c r="E31" cm="1">
        <f t="array" ref="E31">IFERROR(_xlfn.XLOOKUP(1,
   (INPUTS_MASTER!$A:$A=$A31-1)*
   (INPUTS_MASTER!$B:$B=$B31)*
   (INPUTS_MASTER!$C:$C=$C31),
   INPUTS_MASTER!$E:$E),0)</f>
        <v>0</v>
      </c>
      <c r="F31" s="8" t="e">
        <f>AVERAGEIFS(MARKET_DATA!H:H,
MARKET_DATA!$A:$A,$A31-1,
MARKET_DATA!$C:$C,$C31)</f>
        <v>#DIV/0!</v>
      </c>
      <c r="G31" s="8">
        <f t="shared" si="4"/>
        <v>0</v>
      </c>
      <c r="H31" s="8"/>
      <c r="I31" s="8"/>
      <c r="J31" s="8"/>
    </row>
    <row r="32" spans="1:14" x14ac:dyDescent="0.2">
      <c r="A32" s="4">
        <v>11</v>
      </c>
      <c r="B32" s="4" t="s">
        <v>8</v>
      </c>
      <c r="C32" s="4" t="s">
        <v>6</v>
      </c>
      <c r="D32" s="33" t="s">
        <v>11</v>
      </c>
      <c r="E32" cm="1">
        <f t="array" ref="E32">IFERROR(_xlfn.XLOOKUP(1,
   (INPUTS_MASTER!$A:$A=$A32-1)*
   (INPUTS_MASTER!$B:$B=$B32)*
   (INPUTS_MASTER!$C:$C=$C32),
   INPUTS_MASTER!$E:$E),0)</f>
        <v>0</v>
      </c>
      <c r="F32" s="8" t="e">
        <f>AVERAGEIFS(MARKET_DATA!H:H,
MARKET_DATA!$A:$A,$A32-1,
MARKET_DATA!$C:$C,$C32)</f>
        <v>#DIV/0!</v>
      </c>
      <c r="G32" s="8">
        <f t="shared" si="4"/>
        <v>0</v>
      </c>
      <c r="H32" s="8"/>
      <c r="I32" s="8"/>
      <c r="J32" s="8"/>
    </row>
    <row r="33" spans="1:10" x14ac:dyDescent="0.2">
      <c r="A33" s="4">
        <v>11</v>
      </c>
      <c r="B33" s="4" t="s">
        <v>8</v>
      </c>
      <c r="C33" s="4" t="s">
        <v>14</v>
      </c>
      <c r="D33" s="33" t="s">
        <v>11</v>
      </c>
      <c r="E33" cm="1">
        <f t="array" ref="E33">IFERROR(_xlfn.XLOOKUP(1,
   (INPUTS_MASTER!$A:$A=$A33-1)*
   (INPUTS_MASTER!$B:$B=$B33)*
   (INPUTS_MASTER!$C:$C=$C33),
   INPUTS_MASTER!$E:$E),0)</f>
        <v>0</v>
      </c>
      <c r="F33" s="8" t="e">
        <f>AVERAGEIFS(MARKET_DATA!H:H,
MARKET_DATA!$A:$A,$A33-1,
MARKET_DATA!$C:$C,$C33)</f>
        <v>#DIV/0!</v>
      </c>
      <c r="G33" s="8">
        <f t="shared" si="4"/>
        <v>0</v>
      </c>
      <c r="H33" s="8"/>
      <c r="I33" s="8"/>
      <c r="J33" s="8"/>
    </row>
    <row r="34" spans="1:10" x14ac:dyDescent="0.2">
      <c r="A34" s="4">
        <v>11</v>
      </c>
      <c r="B34" s="4" t="s">
        <v>8</v>
      </c>
      <c r="C34" s="4" t="s">
        <v>15</v>
      </c>
      <c r="D34" s="33" t="s">
        <v>11</v>
      </c>
      <c r="E34" cm="1">
        <f t="array" ref="E34">IFERROR(_xlfn.XLOOKUP(1,
   (INPUTS_MASTER!$A:$A=$A34-1)*
   (INPUTS_MASTER!$B:$B=$B34)*
   (INPUTS_MASTER!$C:$C=$C34),
   INPUTS_MASTER!$E:$E),0)</f>
        <v>0</v>
      </c>
      <c r="F34" s="8" t="e">
        <f>AVERAGEIFS(MARKET_DATA!H:H,
MARKET_DATA!$A:$A,$A34-1,
MARKET_DATA!$C:$C,$C34)</f>
        <v>#DIV/0!</v>
      </c>
      <c r="G34" s="8">
        <f t="shared" si="4"/>
        <v>0</v>
      </c>
      <c r="H34" s="8"/>
      <c r="I34" s="8"/>
      <c r="J34" s="8"/>
    </row>
    <row r="35" spans="1:10" x14ac:dyDescent="0.2">
      <c r="A35" s="4">
        <v>11</v>
      </c>
      <c r="B35" s="4" t="s">
        <v>8</v>
      </c>
      <c r="C35" s="4" t="s">
        <v>16</v>
      </c>
      <c r="D35" s="33" t="s">
        <v>11</v>
      </c>
      <c r="E35" cm="1">
        <f t="array" ref="E35">IFERROR(_xlfn.XLOOKUP(1,
   (INPUTS_MASTER!$A:$A=$A35-1)*
   (INPUTS_MASTER!$B:$B=$B35)*
   (INPUTS_MASTER!$C:$C=$C35),
   INPUTS_MASTER!$E:$E),0)</f>
        <v>0</v>
      </c>
      <c r="F35" s="8" t="e">
        <f>AVERAGEIFS(MARKET_DATA!H:H,
MARKET_DATA!$A:$A,$A35-1,
MARKET_DATA!$C:$C,$C35)</f>
        <v>#DIV/0!</v>
      </c>
      <c r="G35" s="8">
        <f t="shared" si="4"/>
        <v>0</v>
      </c>
      <c r="H35" s="8"/>
      <c r="I35" s="8"/>
      <c r="J35" s="8"/>
    </row>
    <row r="36" spans="1:10" x14ac:dyDescent="0.2">
      <c r="A36" s="4">
        <v>11</v>
      </c>
      <c r="B36" s="4" t="s">
        <v>8</v>
      </c>
      <c r="C36" s="4" t="s">
        <v>17</v>
      </c>
      <c r="D36" s="33" t="s">
        <v>11</v>
      </c>
      <c r="E36" cm="1">
        <f t="array" ref="E36">IFERROR(_xlfn.XLOOKUP(1,
   (INPUTS_MASTER!$A:$A=$A36-1)*
   (INPUTS_MASTER!$B:$B=$B36)*
   (INPUTS_MASTER!$C:$C=$C36),
   INPUTS_MASTER!$E:$E),0)</f>
        <v>0</v>
      </c>
      <c r="F36" s="8" t="e">
        <f>AVERAGEIFS(MARKET_DATA!H:H,
MARKET_DATA!$A:$A,$A36-1,
MARKET_DATA!$C:$C,$C36)</f>
        <v>#DIV/0!</v>
      </c>
      <c r="G36" s="8">
        <f t="shared" si="4"/>
        <v>0</v>
      </c>
      <c r="H36" s="8"/>
      <c r="I36" s="8"/>
      <c r="J36" s="8"/>
    </row>
    <row r="37" spans="1:10" x14ac:dyDescent="0.2">
      <c r="A37" s="4">
        <v>12</v>
      </c>
      <c r="B37" s="4" t="s">
        <v>8</v>
      </c>
      <c r="C37" s="4" t="s">
        <v>6</v>
      </c>
      <c r="D37" s="33" t="s">
        <v>11</v>
      </c>
      <c r="E37" cm="1">
        <f t="array" ref="E37">IFERROR(_xlfn.XLOOKUP(1,
   (INPUTS_MASTER!$A:$A=$A37-1)*
   (INPUTS_MASTER!$B:$B=$B37)*
   (INPUTS_MASTER!$C:$C=$C37),
   INPUTS_MASTER!$E:$E),0)</f>
        <v>0</v>
      </c>
      <c r="F37" s="8" t="e">
        <f>AVERAGEIFS(MARKET_DATA!H:H,
MARKET_DATA!$A:$A,$A37-1,
MARKET_DATA!$C:$C,$C37)</f>
        <v>#DIV/0!</v>
      </c>
      <c r="G37" s="8">
        <f t="shared" si="4"/>
        <v>0</v>
      </c>
      <c r="H37" s="8"/>
      <c r="I37" s="8"/>
      <c r="J37" s="8"/>
    </row>
    <row r="38" spans="1:10" x14ac:dyDescent="0.2">
      <c r="A38" s="4">
        <v>12</v>
      </c>
      <c r="B38" s="4" t="s">
        <v>8</v>
      </c>
      <c r="C38" s="4" t="s">
        <v>14</v>
      </c>
      <c r="D38" s="33" t="s">
        <v>11</v>
      </c>
      <c r="E38" cm="1">
        <f t="array" ref="E38">IFERROR(_xlfn.XLOOKUP(1,
   (INPUTS_MASTER!$A:$A=$A38-1)*
   (INPUTS_MASTER!$B:$B=$B38)*
   (INPUTS_MASTER!$C:$C=$C38),
   INPUTS_MASTER!$E:$E),0)</f>
        <v>0</v>
      </c>
      <c r="F38" s="8" t="e">
        <f>AVERAGEIFS(MARKET_DATA!H:H,
MARKET_DATA!$A:$A,$A38-1,
MARKET_DATA!$C:$C,$C38)</f>
        <v>#DIV/0!</v>
      </c>
      <c r="G38" s="8">
        <f t="shared" si="4"/>
        <v>0</v>
      </c>
      <c r="H38" s="8"/>
      <c r="I38" s="8"/>
      <c r="J38" s="8"/>
    </row>
    <row r="39" spans="1:10" x14ac:dyDescent="0.2">
      <c r="A39" s="4">
        <v>12</v>
      </c>
      <c r="B39" s="4" t="s">
        <v>8</v>
      </c>
      <c r="C39" s="4" t="s">
        <v>15</v>
      </c>
      <c r="D39" s="33" t="s">
        <v>11</v>
      </c>
      <c r="E39" cm="1">
        <f t="array" ref="E39">IFERROR(_xlfn.XLOOKUP(1,
   (INPUTS_MASTER!$A:$A=$A39-1)*
   (INPUTS_MASTER!$B:$B=$B39)*
   (INPUTS_MASTER!$C:$C=$C39),
   INPUTS_MASTER!$E:$E),0)</f>
        <v>0</v>
      </c>
      <c r="F39" s="8" t="e">
        <f>AVERAGEIFS(MARKET_DATA!H:H,
MARKET_DATA!$A:$A,$A39-1,
MARKET_DATA!$C:$C,$C39)</f>
        <v>#DIV/0!</v>
      </c>
      <c r="G39" s="8">
        <f t="shared" si="4"/>
        <v>0</v>
      </c>
      <c r="H39" s="8"/>
      <c r="I39" s="8"/>
      <c r="J39" s="8"/>
    </row>
    <row r="40" spans="1:10" x14ac:dyDescent="0.2">
      <c r="A40" s="4">
        <v>12</v>
      </c>
      <c r="B40" s="4" t="s">
        <v>8</v>
      </c>
      <c r="C40" s="4" t="s">
        <v>16</v>
      </c>
      <c r="D40" s="33" t="s">
        <v>11</v>
      </c>
      <c r="E40" cm="1">
        <f t="array" ref="E40">IFERROR(_xlfn.XLOOKUP(1,
   (INPUTS_MASTER!$A:$A=$A40-1)*
   (INPUTS_MASTER!$B:$B=$B40)*
   (INPUTS_MASTER!$C:$C=$C40),
   INPUTS_MASTER!$E:$E),0)</f>
        <v>0</v>
      </c>
      <c r="F40" s="8" t="e">
        <f>AVERAGEIFS(MARKET_DATA!H:H,
MARKET_DATA!$A:$A,$A40-1,
MARKET_DATA!$C:$C,$C40)</f>
        <v>#DIV/0!</v>
      </c>
      <c r="G40" s="8">
        <f t="shared" si="4"/>
        <v>0</v>
      </c>
      <c r="H40" s="8"/>
      <c r="I40" s="8"/>
      <c r="J40" s="8"/>
    </row>
    <row r="41" spans="1:10" x14ac:dyDescent="0.2">
      <c r="A41" s="4">
        <v>12</v>
      </c>
      <c r="B41" s="4" t="s">
        <v>8</v>
      </c>
      <c r="C41" s="4" t="s">
        <v>17</v>
      </c>
      <c r="D41" s="33" t="s">
        <v>11</v>
      </c>
      <c r="E41" cm="1">
        <f t="array" ref="E41">IFERROR(_xlfn.XLOOKUP(1,
   (INPUTS_MASTER!$A:$A=$A41-1)*
   (INPUTS_MASTER!$B:$B=$B41)*
   (INPUTS_MASTER!$C:$C=$C41),
   INPUTS_MASTER!$E:$E),0)</f>
        <v>0</v>
      </c>
      <c r="F41" s="8" t="e">
        <f>AVERAGEIFS(MARKET_DATA!H:H,
MARKET_DATA!$A:$A,$A41-1,
MARKET_DATA!$C:$C,$C41)</f>
        <v>#DIV/0!</v>
      </c>
      <c r="G41" s="8">
        <f t="shared" si="4"/>
        <v>0</v>
      </c>
      <c r="H41" s="8"/>
      <c r="I41" s="8"/>
      <c r="J41" s="8"/>
    </row>
    <row r="42" spans="1:10" x14ac:dyDescent="0.2">
      <c r="A42" s="4">
        <v>8</v>
      </c>
      <c r="B42" s="4" t="s">
        <v>8</v>
      </c>
      <c r="C42" s="4" t="s">
        <v>6</v>
      </c>
      <c r="D42" s="33" t="s">
        <v>12</v>
      </c>
    </row>
    <row r="43" spans="1:10" x14ac:dyDescent="0.2">
      <c r="A43" s="4">
        <v>8</v>
      </c>
      <c r="B43" s="4" t="s">
        <v>8</v>
      </c>
      <c r="C43" s="4" t="s">
        <v>14</v>
      </c>
      <c r="D43" s="33" t="s">
        <v>12</v>
      </c>
    </row>
    <row r="44" spans="1:10" x14ac:dyDescent="0.2">
      <c r="A44" s="4">
        <v>8</v>
      </c>
      <c r="B44" s="4" t="s">
        <v>8</v>
      </c>
      <c r="C44" s="4" t="s">
        <v>15</v>
      </c>
      <c r="D44" s="33" t="s">
        <v>12</v>
      </c>
    </row>
    <row r="45" spans="1:10" x14ac:dyDescent="0.2">
      <c r="A45" s="4">
        <v>8</v>
      </c>
      <c r="B45" s="4" t="s">
        <v>8</v>
      </c>
      <c r="C45" s="4" t="s">
        <v>16</v>
      </c>
      <c r="D45" s="33" t="s">
        <v>12</v>
      </c>
    </row>
    <row r="46" spans="1:10" x14ac:dyDescent="0.2">
      <c r="A46" s="4">
        <v>8</v>
      </c>
      <c r="B46" s="4" t="s">
        <v>8</v>
      </c>
      <c r="C46" s="4" t="s">
        <v>17</v>
      </c>
      <c r="D46" s="33" t="s">
        <v>12</v>
      </c>
    </row>
    <row r="47" spans="1:10" x14ac:dyDescent="0.2">
      <c r="A47" s="4">
        <v>9</v>
      </c>
      <c r="B47" s="4" t="s">
        <v>8</v>
      </c>
      <c r="C47" s="4" t="s">
        <v>6</v>
      </c>
      <c r="D47" s="33" t="s">
        <v>12</v>
      </c>
    </row>
    <row r="48" spans="1:10" x14ac:dyDescent="0.2">
      <c r="A48" s="4">
        <v>9</v>
      </c>
      <c r="B48" s="4" t="s">
        <v>8</v>
      </c>
      <c r="C48" s="4" t="s">
        <v>14</v>
      </c>
      <c r="D48" s="33" t="s">
        <v>12</v>
      </c>
    </row>
    <row r="49" spans="1:4" x14ac:dyDescent="0.2">
      <c r="A49" s="4">
        <v>9</v>
      </c>
      <c r="B49" s="4" t="s">
        <v>8</v>
      </c>
      <c r="C49" s="4" t="s">
        <v>15</v>
      </c>
      <c r="D49" s="33" t="s">
        <v>12</v>
      </c>
    </row>
    <row r="50" spans="1:4" x14ac:dyDescent="0.2">
      <c r="A50" s="4">
        <v>9</v>
      </c>
      <c r="B50" s="4" t="s">
        <v>8</v>
      </c>
      <c r="C50" s="4" t="s">
        <v>16</v>
      </c>
      <c r="D50" s="33" t="s">
        <v>12</v>
      </c>
    </row>
    <row r="51" spans="1:4" x14ac:dyDescent="0.2">
      <c r="A51" s="4">
        <v>9</v>
      </c>
      <c r="B51" s="4" t="s">
        <v>8</v>
      </c>
      <c r="C51" s="4" t="s">
        <v>17</v>
      </c>
      <c r="D51" s="33" t="s">
        <v>12</v>
      </c>
    </row>
    <row r="52" spans="1:4" x14ac:dyDescent="0.2">
      <c r="A52" s="4">
        <v>10</v>
      </c>
      <c r="B52" s="4" t="s">
        <v>8</v>
      </c>
      <c r="C52" s="4" t="s">
        <v>6</v>
      </c>
      <c r="D52" s="33" t="s">
        <v>12</v>
      </c>
    </row>
    <row r="53" spans="1:4" x14ac:dyDescent="0.2">
      <c r="A53" s="4">
        <v>10</v>
      </c>
      <c r="B53" s="4" t="s">
        <v>8</v>
      </c>
      <c r="C53" s="4" t="s">
        <v>14</v>
      </c>
      <c r="D53" s="33" t="s">
        <v>12</v>
      </c>
    </row>
    <row r="54" spans="1:4" x14ac:dyDescent="0.2">
      <c r="A54" s="4">
        <v>10</v>
      </c>
      <c r="B54" s="4" t="s">
        <v>8</v>
      </c>
      <c r="C54" s="4" t="s">
        <v>15</v>
      </c>
      <c r="D54" s="33" t="s">
        <v>12</v>
      </c>
    </row>
    <row r="55" spans="1:4" x14ac:dyDescent="0.2">
      <c r="A55" s="4">
        <v>10</v>
      </c>
      <c r="B55" s="4" t="s">
        <v>8</v>
      </c>
      <c r="C55" s="4" t="s">
        <v>16</v>
      </c>
      <c r="D55" s="33" t="s">
        <v>12</v>
      </c>
    </row>
    <row r="56" spans="1:4" x14ac:dyDescent="0.2">
      <c r="A56" s="4">
        <v>10</v>
      </c>
      <c r="B56" s="4" t="s">
        <v>8</v>
      </c>
      <c r="C56" s="4" t="s">
        <v>17</v>
      </c>
      <c r="D56" s="33" t="s">
        <v>12</v>
      </c>
    </row>
    <row r="57" spans="1:4" x14ac:dyDescent="0.2">
      <c r="A57" s="4">
        <v>11</v>
      </c>
      <c r="B57" s="4" t="s">
        <v>8</v>
      </c>
      <c r="C57" s="4" t="s">
        <v>6</v>
      </c>
      <c r="D57" s="33" t="s">
        <v>12</v>
      </c>
    </row>
    <row r="58" spans="1:4" x14ac:dyDescent="0.2">
      <c r="A58" s="4">
        <v>11</v>
      </c>
      <c r="B58" s="4" t="s">
        <v>8</v>
      </c>
      <c r="C58" s="4" t="s">
        <v>14</v>
      </c>
      <c r="D58" s="33" t="s">
        <v>12</v>
      </c>
    </row>
    <row r="59" spans="1:4" x14ac:dyDescent="0.2">
      <c r="A59" s="4">
        <v>11</v>
      </c>
      <c r="B59" s="4" t="s">
        <v>8</v>
      </c>
      <c r="C59" s="4" t="s">
        <v>15</v>
      </c>
      <c r="D59" s="33" t="s">
        <v>12</v>
      </c>
    </row>
    <row r="60" spans="1:4" x14ac:dyDescent="0.2">
      <c r="A60" s="4">
        <v>11</v>
      </c>
      <c r="B60" s="4" t="s">
        <v>8</v>
      </c>
      <c r="C60" s="4" t="s">
        <v>16</v>
      </c>
      <c r="D60" s="33" t="s">
        <v>12</v>
      </c>
    </row>
    <row r="61" spans="1:4" x14ac:dyDescent="0.2">
      <c r="A61" s="4">
        <v>11</v>
      </c>
      <c r="B61" s="4" t="s">
        <v>8</v>
      </c>
      <c r="C61" s="4" t="s">
        <v>17</v>
      </c>
      <c r="D61" s="33" t="s">
        <v>12</v>
      </c>
    </row>
    <row r="62" spans="1:4" x14ac:dyDescent="0.2">
      <c r="A62" s="4">
        <v>12</v>
      </c>
      <c r="B62" s="4" t="s">
        <v>8</v>
      </c>
      <c r="C62" s="4" t="s">
        <v>6</v>
      </c>
      <c r="D62" s="33" t="s">
        <v>12</v>
      </c>
    </row>
    <row r="63" spans="1:4" x14ac:dyDescent="0.2">
      <c r="A63" s="4">
        <v>12</v>
      </c>
      <c r="B63" s="4" t="s">
        <v>8</v>
      </c>
      <c r="C63" s="4" t="s">
        <v>14</v>
      </c>
      <c r="D63" s="33" t="s">
        <v>12</v>
      </c>
    </row>
    <row r="64" spans="1:4" x14ac:dyDescent="0.2">
      <c r="A64" s="4">
        <v>12</v>
      </c>
      <c r="B64" s="4" t="s">
        <v>8</v>
      </c>
      <c r="C64" s="4" t="s">
        <v>15</v>
      </c>
      <c r="D64" s="33" t="s">
        <v>12</v>
      </c>
    </row>
    <row r="65" spans="1:4" x14ac:dyDescent="0.2">
      <c r="A65" s="4">
        <v>12</v>
      </c>
      <c r="B65" s="4" t="s">
        <v>8</v>
      </c>
      <c r="C65" s="4" t="s">
        <v>16</v>
      </c>
      <c r="D65" s="33" t="s">
        <v>12</v>
      </c>
    </row>
    <row r="66" spans="1:4" x14ac:dyDescent="0.2">
      <c r="A66" s="4">
        <v>12</v>
      </c>
      <c r="B66" s="4" t="s">
        <v>8</v>
      </c>
      <c r="C66" s="4" t="s">
        <v>17</v>
      </c>
      <c r="D66" s="33" t="s">
        <v>12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177B-EBFB-415C-B2BC-676355E40AF3}">
  <sheetPr>
    <tabColor theme="6" tint="-0.249977111117893"/>
  </sheetPr>
  <dimension ref="A1:R21"/>
  <sheetViews>
    <sheetView zoomScaleNormal="100" workbookViewId="0">
      <selection activeCell="H37" sqref="H37"/>
    </sheetView>
  </sheetViews>
  <sheetFormatPr defaultRowHeight="12" x14ac:dyDescent="0.2"/>
  <cols>
    <col min="1" max="1" width="19.6640625" customWidth="1"/>
    <col min="2" max="2" width="8.5" bestFit="1" customWidth="1"/>
    <col min="3" max="4" width="8.6640625" customWidth="1"/>
    <col min="5" max="5" width="12.5" customWidth="1"/>
    <col min="6" max="6" width="14.1640625" customWidth="1"/>
    <col min="7" max="7" width="13.5" customWidth="1"/>
    <col min="8" max="8" width="13" customWidth="1"/>
    <col min="9" max="9" width="11.1640625" customWidth="1"/>
    <col min="10" max="10" width="12.83203125" customWidth="1"/>
    <col min="11" max="11" width="10.83203125" customWidth="1"/>
    <col min="12" max="12" width="11.33203125" customWidth="1"/>
    <col min="13" max="13" width="8.6640625" customWidth="1"/>
    <col min="14" max="14" width="14" customWidth="1"/>
    <col min="15" max="15" width="12.5" customWidth="1"/>
    <col min="16" max="16" width="11.83203125" bestFit="1" customWidth="1"/>
    <col min="17" max="17" width="12.5" customWidth="1"/>
    <col min="18" max="18" width="8.6640625" customWidth="1"/>
  </cols>
  <sheetData>
    <row r="1" spans="1:18" x14ac:dyDescent="0.2">
      <c r="A1" s="14" t="s">
        <v>90</v>
      </c>
      <c r="B1">
        <v>0.26</v>
      </c>
    </row>
    <row r="2" spans="1:18" x14ac:dyDescent="0.2">
      <c r="A2" s="14" t="s">
        <v>91</v>
      </c>
      <c r="B2">
        <v>0.19</v>
      </c>
    </row>
    <row r="3" spans="1:18" x14ac:dyDescent="0.2">
      <c r="A3" s="14" t="s">
        <v>92</v>
      </c>
      <c r="B3">
        <v>0.26</v>
      </c>
    </row>
    <row r="4" spans="1:18" x14ac:dyDescent="0.2">
      <c r="A4" t="s">
        <v>93</v>
      </c>
      <c r="B4">
        <v>0.3</v>
      </c>
    </row>
    <row r="5" spans="1:18" x14ac:dyDescent="0.2">
      <c r="A5" s="14" t="s">
        <v>180</v>
      </c>
      <c r="B5">
        <v>0.55600000000000005</v>
      </c>
    </row>
    <row r="6" spans="1:18" x14ac:dyDescent="0.2">
      <c r="A6" s="14" t="s">
        <v>168</v>
      </c>
      <c r="B6">
        <v>3</v>
      </c>
    </row>
    <row r="7" spans="1:18" x14ac:dyDescent="0.2">
      <c r="A7" t="s">
        <v>172</v>
      </c>
      <c r="B7">
        <v>0.25</v>
      </c>
    </row>
    <row r="8" spans="1:18" x14ac:dyDescent="0.2">
      <c r="A8" t="s">
        <v>173</v>
      </c>
      <c r="B8">
        <v>0.6</v>
      </c>
    </row>
    <row r="9" spans="1:18" x14ac:dyDescent="0.2">
      <c r="A9" t="s">
        <v>174</v>
      </c>
      <c r="B9">
        <v>8</v>
      </c>
    </row>
    <row r="11" spans="1:18" s="1" customFormat="1" ht="48" x14ac:dyDescent="0.2">
      <c r="A11" s="34" t="s">
        <v>0</v>
      </c>
      <c r="B11" s="34" t="s">
        <v>1</v>
      </c>
      <c r="C11" s="34" t="s">
        <v>2</v>
      </c>
      <c r="D11" s="35" t="s">
        <v>10</v>
      </c>
      <c r="E11" s="34" t="s">
        <v>177</v>
      </c>
      <c r="F11" s="34" t="s">
        <v>178</v>
      </c>
      <c r="G11" s="34" t="s">
        <v>179</v>
      </c>
      <c r="H11" s="35" t="s">
        <v>163</v>
      </c>
      <c r="I11" s="34" t="s">
        <v>164</v>
      </c>
      <c r="J11" s="34" t="s">
        <v>165</v>
      </c>
      <c r="K11" s="34" t="s">
        <v>166</v>
      </c>
      <c r="L11" s="35" t="s">
        <v>167</v>
      </c>
      <c r="M11" s="34" t="s">
        <v>169</v>
      </c>
      <c r="N11" s="34" t="s">
        <v>170</v>
      </c>
      <c r="O11" s="34" t="s">
        <v>171</v>
      </c>
      <c r="P11" s="34" t="s">
        <v>89</v>
      </c>
      <c r="Q11" s="34" t="s">
        <v>175</v>
      </c>
      <c r="R11" s="34"/>
    </row>
    <row r="12" spans="1:18" x14ac:dyDescent="0.2">
      <c r="A12" s="4">
        <v>7</v>
      </c>
      <c r="B12" s="4" t="s">
        <v>8</v>
      </c>
      <c r="C12" s="4" t="s">
        <v>6</v>
      </c>
      <c r="D12" s="33" t="s">
        <v>11</v>
      </c>
      <c r="E12" s="41" cm="1">
        <f t="array" ref="E12">+_xlfn.XLOOKUP(1,
 (AWARENESS!A:A=A12)*
 (AWARENESS!B:B=B12)*
 (AWARENESS!C:C=C12)*
 (AWARENESS!D:D=D12),
 AWARENESS!Q:Q)</f>
        <v>15.720096998010906</v>
      </c>
      <c r="F12" s="41" cm="1">
        <f t="array" ref="F12">+_xlfn.XLOOKUP(1,
 (ATTRACTIVENESS!A:A=A12)*
 (ATTRACTIVENESS!B:B=B12)*
 (ATTRACTIVENESS!C:C=C12)*
 (ATTRACTIVENESS!D:D=D12),
 ATTRACTIVENESS!R:R)</f>
        <v>30</v>
      </c>
      <c r="G12" s="41" cm="1">
        <f t="array" ref="G12">+_xlfn.XLOOKUP(1,
(AVAILABILITY!A:A=A12)*
(AVAILABILITY!B:B=B12)*
(AVAILABILITY!C:C=C12),
AVAILABILITY!J:J)</f>
        <v>66.382000572444326</v>
      </c>
      <c r="H12" s="45" cm="1">
        <f t="array" ref="H12">+_xlfn.XLOOKUP(1,
 (PRICE_P!A:A=A12)*
 (PRICE_P!B:B=B12)*
 (PRICE_P!C:C=C12)*
 (PRICE_P!D:D=D12),
 PRICE_P!J:J)</f>
        <v>100</v>
      </c>
      <c r="I12" s="12" cm="1">
        <f t="array" ref="I12">IFERROR(
   _xlfn.XLOOKUP(1,
     (MARKET_DATA!$A:$A=$A12-1)*
     (MARKET_DATA!$B:$B=$B12)*
     (MARKET_DATA!$C:$C=$C12)*
     (MARKET_DATA!$D:$D=$D12),
     MARKET_DATA!$I:$I),
   0)</f>
        <v>0</v>
      </c>
      <c r="J12" s="12" cm="1">
        <f t="array" ref="J12">IFERROR(
   _xlfn.XLOOKUP(1,
     (MARKET_DATA!$A:$A=$A12-1)*
     (MARKET_DATA!$B:$B=$B12)*
     (MARKET_DATA!$C:$C=$C12)*
     (MARKET_DATA!$D:$D=$D12),
     MARKET_DATA!$J:$J),
   0)</f>
        <v>0</v>
      </c>
      <c r="K12" s="12" cm="1">
        <f t="array" ref="K12">IFERROR(
   _xlfn.XLOOKUP(1,
     (MARKET_DATA!$A:$A=$A12-1)*
     (MARKET_DATA!$B:$B=$B12)*
     (MARKET_DATA!$C:$C=$C12)*
     (MARKET_DATA!$D:$D=$D12),
     MARKET_DATA!$K:$K),
   0)</f>
        <v>0</v>
      </c>
      <c r="L12" s="45" cm="1">
        <f t="array" ref="L12">IFERROR(
   _xlfn.XLOOKUP(1,
     (MARKET_DATA!$A:$A=$A12-1)*
     (MARKET_DATA!$B:$B=$B12)*
     (MARKET_DATA!$C:$C=$C12)*
     (MARKET_DATA!$D:$D=$D12),
     MARKET_DATA!$H:$H),
   0)</f>
        <v>0</v>
      </c>
      <c r="M12" s="42">
        <f>+$B$1*E12 + $B$2*F12 + $B$3*G12 + $B$4*H12</f>
        <v>57.046545368318363</v>
      </c>
      <c r="N12" s="42">
        <f>+$B$1*I12 + $B$2*J12 + $B$3*K12 + $B$4*L12</f>
        <v>0</v>
      </c>
      <c r="O12" s="42">
        <f>M12 / (M12 + $B$6*N12)*100</f>
        <v>100</v>
      </c>
      <c r="P12" s="42" cm="1">
        <f t="array" ref="P12">IFERROR(
   _xlfn.XLOOKUP(1,
     (MARKET_DATA!$A:$A=$A12-1)*
     (MARKET_DATA!$B:$B=$B12)*
     (MARKET_DATA!$C:$C=$C12)*
     (MARKET_DATA!$D:$D=$D12),
     MARKET_DATA!$G:$G),
   0)</f>
        <v>0</v>
      </c>
      <c r="Q12" s="42">
        <f>+$B$5*P12 + (1-$B$5)*O12</f>
        <v>44.399999999999991</v>
      </c>
      <c r="R12" s="12"/>
    </row>
    <row r="13" spans="1:18" x14ac:dyDescent="0.2">
      <c r="A13" s="4">
        <v>7</v>
      </c>
      <c r="B13" s="4" t="s">
        <v>8</v>
      </c>
      <c r="C13" s="4" t="s">
        <v>14</v>
      </c>
      <c r="D13" s="33" t="s">
        <v>11</v>
      </c>
      <c r="E13" s="41" cm="1">
        <f t="array" ref="E13">+_xlfn.XLOOKUP(1,
 (AWARENESS!A:A=A13)*
 (AWARENESS!B:B=B13)*
 (AWARENESS!C:C=C13)*
 (AWARENESS!D:D=D13),
 AWARENESS!Q:Q)</f>
        <v>11.071795381249585</v>
      </c>
      <c r="F13" s="41" cm="1">
        <f t="array" ref="F13">+_xlfn.XLOOKUP(1,
 (ATTRACTIVENESS!A:A=A13)*
 (ATTRACTIVENESS!B:B=B13)*
 (ATTRACTIVENESS!C:C=C13)*
 (ATTRACTIVENESS!D:D=D13),
 ATTRACTIVENESS!R:R)</f>
        <v>30</v>
      </c>
      <c r="G13" s="41" cm="1">
        <f t="array" ref="G13">+_xlfn.XLOOKUP(1,
(AVAILABILITY!A:A=A13)*
(AVAILABILITY!B:B=B13)*
(AVAILABILITY!C:C=C13),
AVAILABILITY!J:J)</f>
        <v>58.049375534970224</v>
      </c>
      <c r="H13" s="45" cm="1">
        <f t="array" ref="H13">+_xlfn.XLOOKUP(1,
 (PRICE_P!A:A=A13)*
 (PRICE_P!B:B=B13)*
 (PRICE_P!C:C=C13)*
 (PRICE_P!D:D=D13),
 PRICE_P!J:J)</f>
        <v>100</v>
      </c>
      <c r="I13" s="12" cm="1">
        <f t="array" ref="I13">IFERROR(
   _xlfn.XLOOKUP(1,
     (MARKET_DATA!$A:$A=$A13-1)*
     (MARKET_DATA!$B:$B=$B13)*
     (MARKET_DATA!$C:$C=$C13)*
     (MARKET_DATA!$D:$D=$D13),
     MARKET_DATA!$I:$I),
   0)</f>
        <v>0</v>
      </c>
      <c r="J13" s="12" cm="1">
        <f t="array" ref="J13">IFERROR(
   _xlfn.XLOOKUP(1,
     (MARKET_DATA!$A:$A=$A13-1)*
     (MARKET_DATA!$B:$B=$B13)*
     (MARKET_DATA!$C:$C=$C13)*
     (MARKET_DATA!$D:$D=$D13),
     MARKET_DATA!$J:$J),
   0)</f>
        <v>0</v>
      </c>
      <c r="K13" s="12" cm="1">
        <f t="array" ref="K13">IFERROR(
   _xlfn.XLOOKUP(1,
     (MARKET_DATA!$A:$A=$A13-1)*
     (MARKET_DATA!$B:$B=$B13)*
     (MARKET_DATA!$C:$C=$C13)*
     (MARKET_DATA!$D:$D=$D13),
     MARKET_DATA!$K:$K),
   0)</f>
        <v>0</v>
      </c>
      <c r="L13" s="45" cm="1">
        <f t="array" ref="L13">IFERROR(
   _xlfn.XLOOKUP(1,
     (MARKET_DATA!$A:$A=$A13-1)*
     (MARKET_DATA!$B:$B=$B13)*
     (MARKET_DATA!$C:$C=$C13)*
     (MARKET_DATA!$D:$D=$D13),
     MARKET_DATA!$H:$H),
   0)</f>
        <v>0</v>
      </c>
      <c r="M13" s="42">
        <f t="shared" ref="M13:M21" si="0">+$B$1*E13 + $B$2*F13 + $B$3*G13 + $B$4*H13</f>
        <v>53.671504438217156</v>
      </c>
      <c r="N13" s="42">
        <f t="shared" ref="N13:N21" si="1">+$B$1*I13 + $B$2*J13 + $B$3*K13 + $B$4*L13</f>
        <v>0</v>
      </c>
      <c r="O13" s="42">
        <f t="shared" ref="O13:O21" si="2">M13 / (M13 + $B$6*N13)*100</f>
        <v>100</v>
      </c>
      <c r="P13" s="42" cm="1">
        <f t="array" ref="P13">IFERROR(
   _xlfn.XLOOKUP(1,
     (MARKET_DATA!$A:$A=$A13-1)*
     (MARKET_DATA!$B:$B=$B13)*
     (MARKET_DATA!$C:$C=$C13)*
     (MARKET_DATA!$D:$D=$D13),
     MARKET_DATA!$G:$G),
   0)</f>
        <v>0</v>
      </c>
      <c r="Q13" s="42">
        <f t="shared" ref="Q13:Q21" si="3">+$B$5*P13 + (1-$B$5)*O13</f>
        <v>44.399999999999991</v>
      </c>
    </row>
    <row r="14" spans="1:18" x14ac:dyDescent="0.2">
      <c r="A14" s="4">
        <v>7</v>
      </c>
      <c r="B14" s="4" t="s">
        <v>8</v>
      </c>
      <c r="C14" s="4" t="s">
        <v>15</v>
      </c>
      <c r="D14" s="33" t="s">
        <v>11</v>
      </c>
      <c r="E14" s="41" cm="1">
        <f t="array" ref="E14">+_xlfn.XLOOKUP(1,
 (AWARENESS!A:A=A14)*
 (AWARENESS!B:B=B14)*
 (AWARENESS!C:C=C14)*
 (AWARENESS!D:D=D14),
 AWARENESS!Q:Q)</f>
        <v>10.519273191380391</v>
      </c>
      <c r="F14" s="41" cm="1">
        <f t="array" ref="F14">+_xlfn.XLOOKUP(1,
 (ATTRACTIVENESS!A:A=A14)*
 (ATTRACTIVENESS!B:B=B14)*
 (ATTRACTIVENESS!C:C=C14)*
 (ATTRACTIVENESS!D:D=D14),
 ATTRACTIVENESS!R:R)</f>
        <v>30</v>
      </c>
      <c r="G14" s="41" cm="1">
        <f t="array" ref="G14">+_xlfn.XLOOKUP(1,
(AVAILABILITY!A:A=A14)*
(AVAILABILITY!B:B=B14)*
(AVAILABILITY!C:C=C14),
AVAILABILITY!J:J)</f>
        <v>60.240683927060445</v>
      </c>
      <c r="H14" s="45" cm="1">
        <f t="array" ref="H14">+_xlfn.XLOOKUP(1,
 (PRICE_P!A:A=A14)*
 (PRICE_P!B:B=B14)*
 (PRICE_P!C:C=C14)*
 (PRICE_P!D:D=D14),
 PRICE_P!J:J)</f>
        <v>100</v>
      </c>
      <c r="I14" s="12" cm="1">
        <f t="array" ref="I14">IFERROR(
   _xlfn.XLOOKUP(1,
     (MARKET_DATA!$A:$A=$A14-1)*
     (MARKET_DATA!$B:$B=$B14)*
     (MARKET_DATA!$C:$C=$C14)*
     (MARKET_DATA!$D:$D=$D14),
     MARKET_DATA!$I:$I),
   0)</f>
        <v>0</v>
      </c>
      <c r="J14" s="12" cm="1">
        <f t="array" ref="J14">IFERROR(
   _xlfn.XLOOKUP(1,
     (MARKET_DATA!$A:$A=$A14-1)*
     (MARKET_DATA!$B:$B=$B14)*
     (MARKET_DATA!$C:$C=$C14)*
     (MARKET_DATA!$D:$D=$D14),
     MARKET_DATA!$J:$J),
   0)</f>
        <v>0</v>
      </c>
      <c r="K14" s="12" cm="1">
        <f t="array" ref="K14">IFERROR(
   _xlfn.XLOOKUP(1,
     (MARKET_DATA!$A:$A=$A14-1)*
     (MARKET_DATA!$B:$B=$B14)*
     (MARKET_DATA!$C:$C=$C14)*
     (MARKET_DATA!$D:$D=$D14),
     MARKET_DATA!$K:$K),
   0)</f>
        <v>0</v>
      </c>
      <c r="L14" s="45" cm="1">
        <f t="array" ref="L14">IFERROR(
   _xlfn.XLOOKUP(1,
     (MARKET_DATA!$A:$A=$A14-1)*
     (MARKET_DATA!$B:$B=$B14)*
     (MARKET_DATA!$C:$C=$C14)*
     (MARKET_DATA!$D:$D=$D14),
     MARKET_DATA!$H:$H),
   0)</f>
        <v>0</v>
      </c>
      <c r="M14" s="42">
        <f t="shared" si="0"/>
        <v>54.097588850794622</v>
      </c>
      <c r="N14" s="42">
        <f t="shared" si="1"/>
        <v>0</v>
      </c>
      <c r="O14" s="42">
        <f t="shared" si="2"/>
        <v>100</v>
      </c>
      <c r="P14" s="42" cm="1">
        <f t="array" ref="P14">IFERROR(
   _xlfn.XLOOKUP(1,
     (MARKET_DATA!$A:$A=$A14-1)*
     (MARKET_DATA!$B:$B=$B14)*
     (MARKET_DATA!$C:$C=$C14)*
     (MARKET_DATA!$D:$D=$D14),
     MARKET_DATA!$G:$G),
   0)</f>
        <v>0</v>
      </c>
      <c r="Q14" s="42">
        <f t="shared" si="3"/>
        <v>44.399999999999991</v>
      </c>
    </row>
    <row r="15" spans="1:18" x14ac:dyDescent="0.2">
      <c r="A15" s="4">
        <v>7</v>
      </c>
      <c r="B15" s="4" t="s">
        <v>8</v>
      </c>
      <c r="C15" s="4" t="s">
        <v>16</v>
      </c>
      <c r="D15" s="33" t="s">
        <v>11</v>
      </c>
      <c r="E15" s="41" cm="1">
        <f t="array" ref="E15">+_xlfn.XLOOKUP(1,
 (AWARENESS!A:A=A15)*
 (AWARENESS!B:B=B15)*
 (AWARENESS!C:C=C15)*
 (AWARENESS!D:D=D15),
 AWARENESS!Q:Q)</f>
        <v>9.4</v>
      </c>
      <c r="F15" s="41" cm="1">
        <f t="array" ref="F15">+_xlfn.XLOOKUP(1,
 (ATTRACTIVENESS!A:A=A15)*
 (ATTRACTIVENESS!B:B=B15)*
 (ATTRACTIVENESS!C:C=C15)*
 (ATTRACTIVENESS!D:D=D15),
 ATTRACTIVENESS!R:R)</f>
        <v>30</v>
      </c>
      <c r="G15" s="41" cm="1">
        <f t="array" ref="G15">+_xlfn.XLOOKUP(1,
(AVAILABILITY!A:A=A15)*
(AVAILABILITY!B:B=B15)*
(AVAILABILITY!C:C=C15),
AVAILABILITY!J:J)</f>
        <v>42.596596108139906</v>
      </c>
      <c r="H15" s="45" cm="1">
        <f t="array" ref="H15">+_xlfn.XLOOKUP(1,
 (PRICE_P!A:A=A15)*
 (PRICE_P!B:B=B15)*
 (PRICE_P!C:C=C15)*
 (PRICE_P!D:D=D15),
 PRICE_P!J:J)</f>
        <v>50</v>
      </c>
      <c r="I15" s="12" cm="1">
        <f t="array" ref="I15">IFERROR(
   _xlfn.XLOOKUP(1,
     (MARKET_DATA!$A:$A=$A15-1)*
     (MARKET_DATA!$B:$B=$B15)*
     (MARKET_DATA!$C:$C=$C15)*
     (MARKET_DATA!$D:$D=$D15),
     MARKET_DATA!$I:$I),
   0)</f>
        <v>0</v>
      </c>
      <c r="J15" s="12" cm="1">
        <f t="array" ref="J15">IFERROR(
   _xlfn.XLOOKUP(1,
     (MARKET_DATA!$A:$A=$A15-1)*
     (MARKET_DATA!$B:$B=$B15)*
     (MARKET_DATA!$C:$C=$C15)*
     (MARKET_DATA!$D:$D=$D15),
     MARKET_DATA!$J:$J),
   0)</f>
        <v>0</v>
      </c>
      <c r="K15" s="12" cm="1">
        <f t="array" ref="K15">IFERROR(
   _xlfn.XLOOKUP(1,
     (MARKET_DATA!$A:$A=$A15-1)*
     (MARKET_DATA!$B:$B=$B15)*
     (MARKET_DATA!$C:$C=$C15)*
     (MARKET_DATA!$D:$D=$D15),
     MARKET_DATA!$K:$K),
   0)</f>
        <v>0</v>
      </c>
      <c r="L15" s="45" cm="1">
        <f t="array" ref="L15">IFERROR(
   _xlfn.XLOOKUP(1,
     (MARKET_DATA!$A:$A=$A15-1)*
     (MARKET_DATA!$B:$B=$B15)*
     (MARKET_DATA!$C:$C=$C15)*
     (MARKET_DATA!$D:$D=$D15),
     MARKET_DATA!$H:$H),
   0)</f>
        <v>0</v>
      </c>
      <c r="M15" s="42">
        <f t="shared" si="0"/>
        <v>34.219114988116374</v>
      </c>
      <c r="N15" s="42">
        <f t="shared" si="1"/>
        <v>0</v>
      </c>
      <c r="O15" s="42">
        <f t="shared" si="2"/>
        <v>100</v>
      </c>
      <c r="P15" s="42" cm="1">
        <f t="array" ref="P15">IFERROR(
   _xlfn.XLOOKUP(1,
     (MARKET_DATA!$A:$A=$A15-1)*
     (MARKET_DATA!$B:$B=$B15)*
     (MARKET_DATA!$C:$C=$C15)*
     (MARKET_DATA!$D:$D=$D15),
     MARKET_DATA!$G:$G),
   0)</f>
        <v>0</v>
      </c>
      <c r="Q15" s="42">
        <f t="shared" si="3"/>
        <v>44.399999999999991</v>
      </c>
    </row>
    <row r="16" spans="1:18" x14ac:dyDescent="0.2">
      <c r="A16" s="4">
        <v>7</v>
      </c>
      <c r="B16" s="4" t="s">
        <v>8</v>
      </c>
      <c r="C16" s="4" t="s">
        <v>17</v>
      </c>
      <c r="D16" s="33" t="s">
        <v>11</v>
      </c>
      <c r="E16" s="41" cm="1">
        <f t="array" ref="E16">+_xlfn.XLOOKUP(1,
 (AWARENESS!A:A=A16)*
 (AWARENESS!B:B=B16)*
 (AWARENESS!C:C=C16)*
 (AWARENESS!D:D=D16),
 AWARENESS!Q:Q)</f>
        <v>9.4</v>
      </c>
      <c r="F16" s="41" cm="1">
        <f t="array" ref="F16">+_xlfn.XLOOKUP(1,
 (ATTRACTIVENESS!A:A=A16)*
 (ATTRACTIVENESS!B:B=B16)*
 (ATTRACTIVENESS!C:C=C16)*
 (ATTRACTIVENESS!D:D=D16),
 ATTRACTIVENESS!R:R)</f>
        <v>30</v>
      </c>
      <c r="G16" s="41" cm="1">
        <f t="array" ref="G16">+_xlfn.XLOOKUP(1,
(AVAILABILITY!A:A=A16)*
(AVAILABILITY!B:B=B16)*
(AVAILABILITY!C:C=C16),
AVAILABILITY!J:J)</f>
        <v>42.596596108139906</v>
      </c>
      <c r="H16" s="45" cm="1">
        <f t="array" ref="H16">+_xlfn.XLOOKUP(1,
 (PRICE_P!A:A=A16)*
 (PRICE_P!B:B=B16)*
 (PRICE_P!C:C=C16)*
 (PRICE_P!D:D=D16),
 PRICE_P!J:J)</f>
        <v>50</v>
      </c>
      <c r="I16" s="12" cm="1">
        <f t="array" ref="I16">IFERROR(
   _xlfn.XLOOKUP(1,
     (MARKET_DATA!$A:$A=$A16-1)*
     (MARKET_DATA!$B:$B=$B16)*
     (MARKET_DATA!$C:$C=$C16)*
     (MARKET_DATA!$D:$D=$D16),
     MARKET_DATA!$I:$I),
   0)</f>
        <v>0</v>
      </c>
      <c r="J16" s="12" cm="1">
        <f t="array" ref="J16">IFERROR(
   _xlfn.XLOOKUP(1,
     (MARKET_DATA!$A:$A=$A16-1)*
     (MARKET_DATA!$B:$B=$B16)*
     (MARKET_DATA!$C:$C=$C16)*
     (MARKET_DATA!$D:$D=$D16),
     MARKET_DATA!$J:$J),
   0)</f>
        <v>0</v>
      </c>
      <c r="K16" s="12" cm="1">
        <f t="array" ref="K16">IFERROR(
   _xlfn.XLOOKUP(1,
     (MARKET_DATA!$A:$A=$A16-1)*
     (MARKET_DATA!$B:$B=$B16)*
     (MARKET_DATA!$C:$C=$C16)*
     (MARKET_DATA!$D:$D=$D16),
     MARKET_DATA!$K:$K),
   0)</f>
        <v>0</v>
      </c>
      <c r="L16" s="45" cm="1">
        <f t="array" ref="L16">IFERROR(
   _xlfn.XLOOKUP(1,
     (MARKET_DATA!$A:$A=$A16-1)*
     (MARKET_DATA!$B:$B=$B16)*
     (MARKET_DATA!$C:$C=$C16)*
     (MARKET_DATA!$D:$D=$D16),
     MARKET_DATA!$H:$H),
   0)</f>
        <v>0</v>
      </c>
      <c r="M16" s="42">
        <f t="shared" si="0"/>
        <v>34.219114988116374</v>
      </c>
      <c r="N16" s="42">
        <f t="shared" si="1"/>
        <v>0</v>
      </c>
      <c r="O16" s="42">
        <f t="shared" si="2"/>
        <v>100</v>
      </c>
      <c r="P16" s="42" cm="1">
        <f t="array" ref="P16">IFERROR(
   _xlfn.XLOOKUP(1,
     (MARKET_DATA!$A:$A=$A16-1)*
     (MARKET_DATA!$B:$B=$B16)*
     (MARKET_DATA!$C:$C=$C16)*
     (MARKET_DATA!$D:$D=$D16),
     MARKET_DATA!$G:$G),
   0)</f>
        <v>0</v>
      </c>
      <c r="Q16" s="42">
        <f t="shared" si="3"/>
        <v>44.399999999999991</v>
      </c>
    </row>
    <row r="17" spans="1:17" x14ac:dyDescent="0.2">
      <c r="A17" s="4">
        <v>7</v>
      </c>
      <c r="B17" s="4" t="s">
        <v>8</v>
      </c>
      <c r="C17" s="4" t="s">
        <v>6</v>
      </c>
      <c r="D17" s="33" t="s">
        <v>12</v>
      </c>
      <c r="E17" s="41" cm="1">
        <f t="array" ref="E17">+_xlfn.XLOOKUP(1,
 (AWARENESS!A:A=A17)*
 (AWARENESS!B:B=B17)*
 (AWARENESS!C:C=C17)*
 (AWARENESS!D:D=D17),
 AWARENESS!Q:Q)</f>
        <v>38.514624307944871</v>
      </c>
      <c r="F17" s="41" cm="1">
        <f t="array" ref="F17">+_xlfn.XLOOKUP(1,
 (ATTRACTIVENESS!A:A=A17)*
 (ATTRACTIVENESS!B:B=B17)*
 (ATTRACTIVENESS!C:C=C17)*
 (ATTRACTIVENESS!D:D=D17),
 ATTRACTIVENESS!R:R)</f>
        <v>23</v>
      </c>
      <c r="G17" s="41" cm="1">
        <f t="array" ref="G17">+_xlfn.XLOOKUP(1,
(AVAILABILITY!A:A=A17)*
(AVAILABILITY!B:B=B17)*
(AVAILABILITY!C:C=C17),
AVAILABILITY!J:J)</f>
        <v>66.382000572444326</v>
      </c>
      <c r="H17" s="45" cm="1">
        <f t="array" ref="H17">+_xlfn.XLOOKUP(1,
 (PRICE_P!A:A=A17)*
 (PRICE_P!B:B=B17)*
 (PRICE_P!C:C=C17)*
 (PRICE_P!D:D=D17),
 PRICE_P!J:J)</f>
        <v>100</v>
      </c>
      <c r="I17" s="12" cm="1">
        <f t="array" ref="I17">IFERROR(
   _xlfn.XLOOKUP(1,
     (MARKET_DATA!$A:$A=$A17-1)*
     (MARKET_DATA!$B:$B=$B17)*
     (MARKET_DATA!$C:$C=$C17)*
     (MARKET_DATA!$D:$D=$D17),
     MARKET_DATA!$I:$I),
   0)</f>
        <v>0</v>
      </c>
      <c r="J17" s="12" cm="1">
        <f t="array" ref="J17">IFERROR(
   _xlfn.XLOOKUP(1,
     (MARKET_DATA!$A:$A=$A17-1)*
     (MARKET_DATA!$B:$B=$B17)*
     (MARKET_DATA!$C:$C=$C17)*
     (MARKET_DATA!$D:$D=$D17),
     MARKET_DATA!$J:$J),
   0)</f>
        <v>0</v>
      </c>
      <c r="K17" s="12" cm="1">
        <f t="array" ref="K17">IFERROR(
   _xlfn.XLOOKUP(1,
     (MARKET_DATA!$A:$A=$A17-1)*
     (MARKET_DATA!$B:$B=$B17)*
     (MARKET_DATA!$C:$C=$C17)*
     (MARKET_DATA!$D:$D=$D17),
     MARKET_DATA!$K:$K),
   0)</f>
        <v>0</v>
      </c>
      <c r="L17" s="45" cm="1">
        <f t="array" ref="L17">IFERROR(
   _xlfn.XLOOKUP(1,
     (MARKET_DATA!$A:$A=$A17-1)*
     (MARKET_DATA!$B:$B=$B17)*
     (MARKET_DATA!$C:$C=$C17)*
     (MARKET_DATA!$D:$D=$D17),
     MARKET_DATA!$H:$H),
   0)</f>
        <v>0</v>
      </c>
      <c r="M17" s="42">
        <f t="shared" si="0"/>
        <v>61.64312246890119</v>
      </c>
      <c r="N17" s="42">
        <f t="shared" si="1"/>
        <v>0</v>
      </c>
      <c r="O17" s="42">
        <f t="shared" si="2"/>
        <v>100</v>
      </c>
      <c r="P17" s="42" cm="1">
        <f t="array" ref="P17">IFERROR(
   _xlfn.XLOOKUP(1,
     (MARKET_DATA!$A:$A=$A17-1)*
     (MARKET_DATA!$B:$B=$B17)*
     (MARKET_DATA!$C:$C=$C17)*
     (MARKET_DATA!$D:$D=$D17),
     MARKET_DATA!$G:$G),
   0)</f>
        <v>0</v>
      </c>
      <c r="Q17" s="42">
        <f t="shared" si="3"/>
        <v>44.399999999999991</v>
      </c>
    </row>
    <row r="18" spans="1:17" x14ac:dyDescent="0.2">
      <c r="A18" s="4">
        <v>7</v>
      </c>
      <c r="B18" s="4" t="s">
        <v>8</v>
      </c>
      <c r="C18" s="4" t="s">
        <v>14</v>
      </c>
      <c r="D18" s="33" t="s">
        <v>12</v>
      </c>
      <c r="E18" s="41" cm="1">
        <f t="array" ref="E18">+_xlfn.XLOOKUP(1,
 (AWARENESS!A:A=A18)*
 (AWARENESS!B:B=B18)*
 (AWARENESS!C:C=C18)*
 (AWARENESS!D:D=D18),
 AWARENESS!Q:Q)</f>
        <v>20.35465046717102</v>
      </c>
      <c r="F18" s="41" cm="1">
        <f t="array" ref="F18">+_xlfn.XLOOKUP(1,
 (ATTRACTIVENESS!A:A=A18)*
 (ATTRACTIVENESS!B:B=B18)*
 (ATTRACTIVENESS!C:C=C18)*
 (ATTRACTIVENESS!D:D=D18),
 ATTRACTIVENESS!R:R)</f>
        <v>23</v>
      </c>
      <c r="G18" s="41" cm="1">
        <f t="array" ref="G18">+_xlfn.XLOOKUP(1,
(AVAILABILITY!A:A=A18)*
(AVAILABILITY!B:B=B18)*
(AVAILABILITY!C:C=C18),
AVAILABILITY!J:J)</f>
        <v>58.049375534970224</v>
      </c>
      <c r="H18" s="45" cm="1">
        <f t="array" ref="H18">+_xlfn.XLOOKUP(1,
 (PRICE_P!A:A=A18)*
 (PRICE_P!B:B=B18)*
 (PRICE_P!C:C=C18)*
 (PRICE_P!D:D=D18),
 PRICE_P!J:J)</f>
        <v>100</v>
      </c>
      <c r="I18" s="12" cm="1">
        <f t="array" ref="I18">IFERROR(
   _xlfn.XLOOKUP(1,
     (MARKET_DATA!$A:$A=$A18-1)*
     (MARKET_DATA!$B:$B=$B18)*
     (MARKET_DATA!$C:$C=$C18)*
     (MARKET_DATA!$D:$D=$D18),
     MARKET_DATA!$I:$I),
   0)</f>
        <v>0</v>
      </c>
      <c r="J18" s="12" cm="1">
        <f t="array" ref="J18">IFERROR(
   _xlfn.XLOOKUP(1,
     (MARKET_DATA!$A:$A=$A18-1)*
     (MARKET_DATA!$B:$B=$B18)*
     (MARKET_DATA!$C:$C=$C18)*
     (MARKET_DATA!$D:$D=$D18),
     MARKET_DATA!$J:$J),
   0)</f>
        <v>0</v>
      </c>
      <c r="K18" s="12" cm="1">
        <f t="array" ref="K18">IFERROR(
   _xlfn.XLOOKUP(1,
     (MARKET_DATA!$A:$A=$A18-1)*
     (MARKET_DATA!$B:$B=$B18)*
     (MARKET_DATA!$C:$C=$C18)*
     (MARKET_DATA!$D:$D=$D18),
     MARKET_DATA!$K:$K),
   0)</f>
        <v>0</v>
      </c>
      <c r="L18" s="45" cm="1">
        <f t="array" ref="L18">IFERROR(
   _xlfn.XLOOKUP(1,
     (MARKET_DATA!$A:$A=$A18-1)*
     (MARKET_DATA!$B:$B=$B18)*
     (MARKET_DATA!$C:$C=$C18)*
     (MARKET_DATA!$D:$D=$D18),
     MARKET_DATA!$H:$H),
   0)</f>
        <v>0</v>
      </c>
      <c r="M18" s="42">
        <f t="shared" si="0"/>
        <v>54.755046760556723</v>
      </c>
      <c r="N18" s="42">
        <f t="shared" si="1"/>
        <v>0</v>
      </c>
      <c r="O18" s="42">
        <f t="shared" si="2"/>
        <v>100</v>
      </c>
      <c r="P18" s="42" cm="1">
        <f t="array" ref="P18">IFERROR(
   _xlfn.XLOOKUP(1,
     (MARKET_DATA!$A:$A=$A18-1)*
     (MARKET_DATA!$B:$B=$B18)*
     (MARKET_DATA!$C:$C=$C18)*
     (MARKET_DATA!$D:$D=$D18),
     MARKET_DATA!$G:$G),
   0)</f>
        <v>0</v>
      </c>
      <c r="Q18" s="42">
        <f t="shared" si="3"/>
        <v>44.399999999999991</v>
      </c>
    </row>
    <row r="19" spans="1:17" x14ac:dyDescent="0.2">
      <c r="A19" s="4">
        <v>7</v>
      </c>
      <c r="B19" s="4" t="s">
        <v>8</v>
      </c>
      <c r="C19" s="4" t="s">
        <v>15</v>
      </c>
      <c r="D19" s="33" t="s">
        <v>12</v>
      </c>
      <c r="E19" s="41" cm="1">
        <f t="array" ref="E19">+_xlfn.XLOOKUP(1,
 (AWARENESS!A:A=A19)*
 (AWARENESS!B:B=B19)*
 (AWARENESS!C:C=C19)*
 (AWARENESS!D:D=D19),
 AWARENESS!Q:Q)</f>
        <v>16.654909008121649</v>
      </c>
      <c r="F19" s="41" cm="1">
        <f t="array" ref="F19">+_xlfn.XLOOKUP(1,
 (ATTRACTIVENESS!A:A=A19)*
 (ATTRACTIVENESS!B:B=B19)*
 (ATTRACTIVENESS!C:C=C19)*
 (ATTRACTIVENESS!D:D=D19),
 ATTRACTIVENESS!R:R)</f>
        <v>23</v>
      </c>
      <c r="G19" s="41" cm="1">
        <f t="array" ref="G19">+_xlfn.XLOOKUP(1,
(AVAILABILITY!A:A=A19)*
(AVAILABILITY!B:B=B19)*
(AVAILABILITY!C:C=C19),
AVAILABILITY!J:J)</f>
        <v>60.240683927060445</v>
      </c>
      <c r="H19" s="45" cm="1">
        <f t="array" ref="H19">+_xlfn.XLOOKUP(1,
 (PRICE_P!A:A=A19)*
 (PRICE_P!B:B=B19)*
 (PRICE_P!C:C=C19)*
 (PRICE_P!D:D=D19),
 PRICE_P!J:J)</f>
        <v>100</v>
      </c>
      <c r="I19" s="12" cm="1">
        <f t="array" ref="I19">IFERROR(
   _xlfn.XLOOKUP(1,
     (MARKET_DATA!$A:$A=$A19-1)*
     (MARKET_DATA!$B:$B=$B19)*
     (MARKET_DATA!$C:$C=$C19)*
     (MARKET_DATA!$D:$D=$D19),
     MARKET_DATA!$I:$I),
   0)</f>
        <v>0</v>
      </c>
      <c r="J19" s="12" cm="1">
        <f t="array" ref="J19">IFERROR(
   _xlfn.XLOOKUP(1,
     (MARKET_DATA!$A:$A=$A19-1)*
     (MARKET_DATA!$B:$B=$B19)*
     (MARKET_DATA!$C:$C=$C19)*
     (MARKET_DATA!$D:$D=$D19),
     MARKET_DATA!$J:$J),
   0)</f>
        <v>0</v>
      </c>
      <c r="K19" s="12" cm="1">
        <f t="array" ref="K19">IFERROR(
   _xlfn.XLOOKUP(1,
     (MARKET_DATA!$A:$A=$A19-1)*
     (MARKET_DATA!$B:$B=$B19)*
     (MARKET_DATA!$C:$C=$C19)*
     (MARKET_DATA!$D:$D=$D19),
     MARKET_DATA!$K:$K),
   0)</f>
        <v>0</v>
      </c>
      <c r="L19" s="45" cm="1">
        <f t="array" ref="L19">IFERROR(
   _xlfn.XLOOKUP(1,
     (MARKET_DATA!$A:$A=$A19-1)*
     (MARKET_DATA!$B:$B=$B19)*
     (MARKET_DATA!$C:$C=$C19)*
     (MARKET_DATA!$D:$D=$D19),
     MARKET_DATA!$H:$H),
   0)</f>
        <v>0</v>
      </c>
      <c r="M19" s="42">
        <f t="shared" si="0"/>
        <v>54.362854163147347</v>
      </c>
      <c r="N19" s="42">
        <f t="shared" si="1"/>
        <v>0</v>
      </c>
      <c r="O19" s="42">
        <f t="shared" si="2"/>
        <v>100</v>
      </c>
      <c r="P19" s="42" cm="1">
        <f t="array" ref="P19">IFERROR(
   _xlfn.XLOOKUP(1,
     (MARKET_DATA!$A:$A=$A19-1)*
     (MARKET_DATA!$B:$B=$B19)*
     (MARKET_DATA!$C:$C=$C19)*
     (MARKET_DATA!$D:$D=$D19),
     MARKET_DATA!$G:$G),
   0)</f>
        <v>0</v>
      </c>
      <c r="Q19" s="42">
        <f t="shared" si="3"/>
        <v>44.399999999999991</v>
      </c>
    </row>
    <row r="20" spans="1:17" x14ac:dyDescent="0.2">
      <c r="A20" s="4">
        <v>7</v>
      </c>
      <c r="B20" s="4" t="s">
        <v>8</v>
      </c>
      <c r="C20" s="4" t="s">
        <v>16</v>
      </c>
      <c r="D20" s="33" t="s">
        <v>12</v>
      </c>
      <c r="E20" s="41" cm="1">
        <f t="array" ref="E20">+_xlfn.XLOOKUP(1,
 (AWARENESS!A:A=A20)*
 (AWARENESS!B:B=B20)*
 (AWARENESS!C:C=C20)*
 (AWARENESS!D:D=D20),
 AWARENESS!Q:Q)</f>
        <v>10.100000000000001</v>
      </c>
      <c r="F20" s="41" cm="1">
        <f t="array" ref="F20">+_xlfn.XLOOKUP(1,
 (ATTRACTIVENESS!A:A=A20)*
 (ATTRACTIVENESS!B:B=B20)*
 (ATTRACTIVENESS!C:C=C20)*
 (ATTRACTIVENESS!D:D=D20),
 ATTRACTIVENESS!R:R)</f>
        <v>23</v>
      </c>
      <c r="G20" s="41" cm="1">
        <f t="array" ref="G20">+_xlfn.XLOOKUP(1,
(AVAILABILITY!A:A=A20)*
(AVAILABILITY!B:B=B20)*
(AVAILABILITY!C:C=C20),
AVAILABILITY!J:J)</f>
        <v>42.596596108139906</v>
      </c>
      <c r="H20" s="45" cm="1">
        <f t="array" ref="H20">+_xlfn.XLOOKUP(1,
 (PRICE_P!A:A=A20)*
 (PRICE_P!B:B=B20)*
 (PRICE_P!C:C=C20)*
 (PRICE_P!D:D=D20),
 PRICE_P!J:J)</f>
        <v>50</v>
      </c>
      <c r="I20" s="12" cm="1">
        <f t="array" ref="I20">IFERROR(
   _xlfn.XLOOKUP(1,
     (MARKET_DATA!$A:$A=$A20-1)*
     (MARKET_DATA!$B:$B=$B20)*
     (MARKET_DATA!$C:$C=$C20)*
     (MARKET_DATA!$D:$D=$D20),
     MARKET_DATA!$I:$I),
   0)</f>
        <v>0</v>
      </c>
      <c r="J20" s="12" cm="1">
        <f t="array" ref="J20">IFERROR(
   _xlfn.XLOOKUP(1,
     (MARKET_DATA!$A:$A=$A20-1)*
     (MARKET_DATA!$B:$B=$B20)*
     (MARKET_DATA!$C:$C=$C20)*
     (MARKET_DATA!$D:$D=$D20),
     MARKET_DATA!$J:$J),
   0)</f>
        <v>0</v>
      </c>
      <c r="K20" s="12" cm="1">
        <f t="array" ref="K20">IFERROR(
   _xlfn.XLOOKUP(1,
     (MARKET_DATA!$A:$A=$A20-1)*
     (MARKET_DATA!$B:$B=$B20)*
     (MARKET_DATA!$C:$C=$C20)*
     (MARKET_DATA!$D:$D=$D20),
     MARKET_DATA!$K:$K),
   0)</f>
        <v>0</v>
      </c>
      <c r="L20" s="45" cm="1">
        <f t="array" ref="L20">IFERROR(
   _xlfn.XLOOKUP(1,
     (MARKET_DATA!$A:$A=$A20-1)*
     (MARKET_DATA!$B:$B=$B20)*
     (MARKET_DATA!$C:$C=$C20)*
     (MARKET_DATA!$D:$D=$D20),
     MARKET_DATA!$H:$H),
   0)</f>
        <v>0</v>
      </c>
      <c r="M20" s="42">
        <f t="shared" si="0"/>
        <v>33.071114988116378</v>
      </c>
      <c r="N20" s="42">
        <f t="shared" si="1"/>
        <v>0</v>
      </c>
      <c r="O20" s="42">
        <f t="shared" si="2"/>
        <v>100</v>
      </c>
      <c r="P20" s="42" cm="1">
        <f t="array" ref="P20">IFERROR(
   _xlfn.XLOOKUP(1,
     (MARKET_DATA!$A:$A=$A20-1)*
     (MARKET_DATA!$B:$B=$B20)*
     (MARKET_DATA!$C:$C=$C20)*
     (MARKET_DATA!$D:$D=$D20),
     MARKET_DATA!$G:$G),
   0)</f>
        <v>0</v>
      </c>
      <c r="Q20" s="42">
        <f t="shared" si="3"/>
        <v>44.399999999999991</v>
      </c>
    </row>
    <row r="21" spans="1:17" x14ac:dyDescent="0.2">
      <c r="A21" s="4">
        <v>7</v>
      </c>
      <c r="B21" s="4" t="s">
        <v>8</v>
      </c>
      <c r="C21" s="4" t="s">
        <v>17</v>
      </c>
      <c r="D21" s="33" t="s">
        <v>12</v>
      </c>
      <c r="E21" s="41" cm="1">
        <f t="array" ref="E21">+_xlfn.XLOOKUP(1,
 (AWARENESS!A:A=A21)*
 (AWARENESS!B:B=B21)*
 (AWARENESS!C:C=C21)*
 (AWARENESS!D:D=D21),
 AWARENESS!Q:Q)</f>
        <v>10.100000000000001</v>
      </c>
      <c r="F21" s="41" cm="1">
        <f t="array" ref="F21">+_xlfn.XLOOKUP(1,
 (ATTRACTIVENESS!A:A=A21)*
 (ATTRACTIVENESS!B:B=B21)*
 (ATTRACTIVENESS!C:C=C21)*
 (ATTRACTIVENESS!D:D=D21),
 ATTRACTIVENESS!R:R)</f>
        <v>23</v>
      </c>
      <c r="G21" s="41" cm="1">
        <f t="array" ref="G21">+_xlfn.XLOOKUP(1,
(AVAILABILITY!A:A=A21)*
(AVAILABILITY!B:B=B21)*
(AVAILABILITY!C:C=C21),
AVAILABILITY!J:J)</f>
        <v>42.596596108139906</v>
      </c>
      <c r="H21" s="45" cm="1">
        <f t="array" ref="H21">+_xlfn.XLOOKUP(1,
 (PRICE_P!A:A=A21)*
 (PRICE_P!B:B=B21)*
 (PRICE_P!C:C=C21)*
 (PRICE_P!D:D=D21),
 PRICE_P!J:J)</f>
        <v>50</v>
      </c>
      <c r="I21" s="12" cm="1">
        <f t="array" ref="I21">IFERROR(
   _xlfn.XLOOKUP(1,
     (MARKET_DATA!$A:$A=$A21-1)*
     (MARKET_DATA!$B:$B=$B21)*
     (MARKET_DATA!$C:$C=$C21)*
     (MARKET_DATA!$D:$D=$D21),
     MARKET_DATA!$I:$I),
   0)</f>
        <v>0</v>
      </c>
      <c r="J21" s="12" cm="1">
        <f t="array" ref="J21">IFERROR(
   _xlfn.XLOOKUP(1,
     (MARKET_DATA!$A:$A=$A21-1)*
     (MARKET_DATA!$B:$B=$B21)*
     (MARKET_DATA!$C:$C=$C21)*
     (MARKET_DATA!$D:$D=$D21),
     MARKET_DATA!$J:$J),
   0)</f>
        <v>0</v>
      </c>
      <c r="K21" s="12" cm="1">
        <f t="array" ref="K21">IFERROR(
   _xlfn.XLOOKUP(1,
     (MARKET_DATA!$A:$A=$A21-1)*
     (MARKET_DATA!$B:$B=$B21)*
     (MARKET_DATA!$C:$C=$C21)*
     (MARKET_DATA!$D:$D=$D21),
     MARKET_DATA!$K:$K),
   0)</f>
        <v>0</v>
      </c>
      <c r="L21" s="45" cm="1">
        <f t="array" ref="L21">IFERROR(
   _xlfn.XLOOKUP(1,
     (MARKET_DATA!$A:$A=$A21-1)*
     (MARKET_DATA!$B:$B=$B21)*
     (MARKET_DATA!$C:$C=$C21)*
     (MARKET_DATA!$D:$D=$D21),
     MARKET_DATA!$H:$H),
   0)</f>
        <v>0</v>
      </c>
      <c r="M21" s="42">
        <f t="shared" si="0"/>
        <v>33.071114988116378</v>
      </c>
      <c r="N21" s="42">
        <f t="shared" si="1"/>
        <v>0</v>
      </c>
      <c r="O21" s="42">
        <f t="shared" si="2"/>
        <v>100</v>
      </c>
      <c r="P21" s="42" cm="1">
        <f t="array" ref="P21">IFERROR(
   _xlfn.XLOOKUP(1,
     (MARKET_DATA!$A:$A=$A21-1)*
     (MARKET_DATA!$B:$B=$B21)*
     (MARKET_DATA!$C:$C=$C21)*
     (MARKET_DATA!$D:$D=$D21),
     MARKET_DATA!$G:$G),
   0)</f>
        <v>0</v>
      </c>
      <c r="Q21" s="42">
        <f t="shared" si="3"/>
        <v>44.399999999999991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DEMAND</vt:lpstr>
      <vt:lpstr>INPUTS_MASTER</vt:lpstr>
      <vt:lpstr>INNOVATION</vt:lpstr>
      <vt:lpstr>MARKET_DATA</vt:lpstr>
      <vt:lpstr>AWARENESS</vt:lpstr>
      <vt:lpstr>ATTRACTIVENESS</vt:lpstr>
      <vt:lpstr>AVAILABILITY</vt:lpstr>
      <vt:lpstr>PRICE_P</vt:lpstr>
      <vt:lpstr>MS_ALLOCATION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Tapia</dc:creator>
  <cp:lastModifiedBy>Lichtenstein, Harel</cp:lastModifiedBy>
  <dcterms:created xsi:type="dcterms:W3CDTF">2025-12-31T11:48:07Z</dcterms:created>
  <dcterms:modified xsi:type="dcterms:W3CDTF">2026-01-08T15:28:25Z</dcterms:modified>
</cp:coreProperties>
</file>