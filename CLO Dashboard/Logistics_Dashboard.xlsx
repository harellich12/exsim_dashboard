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iese365-my.sharepoint.com/personal/harel_lichtenstein_iese_net/Documents/Desktop/AI Tests/EXSIM models/CLO Dashboard/"/>
    </mc:Choice>
  </mc:AlternateContent>
  <xr:revisionPtr revIDLastSave="1" documentId="11_730476966C7271868AD9DF01A122248A70D4BD44" xr6:coauthVersionLast="47" xr6:coauthVersionMax="47" xr10:uidLastSave="{590DDDA6-5218-43DB-AF3A-6174803578FF}"/>
  <bookViews>
    <workbookView xWindow="17100" yWindow="1575" windowWidth="26400" windowHeight="18030" xr2:uid="{00000000-000D-0000-FFFF-FFFF00000000}"/>
  </bookViews>
  <sheets>
    <sheet name="ROUTE_CONFIG" sheetId="1" r:id="rId1"/>
    <sheet name="LOGISTICS_DATA" sheetId="2" r:id="rId2"/>
    <sheet name="ROUTE_OPTIMIZER" sheetId="3" r:id="rId3"/>
    <sheet name="INVENTORY_TETRIS" sheetId="4" r:id="rId4"/>
    <sheet name="SHIPMENT_BUILDER" sheetId="5" r:id="rId5"/>
    <sheet name="UPLOAD_READY_LOGISTIC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5" i="6" l="1"/>
  <c r="K25" i="6"/>
  <c r="J25" i="6"/>
  <c r="I25" i="6"/>
  <c r="H25" i="6"/>
  <c r="G25" i="6"/>
  <c r="F25" i="6"/>
  <c r="E25" i="6"/>
  <c r="D25" i="6"/>
  <c r="B25" i="6"/>
  <c r="A25" i="6"/>
  <c r="L24" i="6"/>
  <c r="K24" i="6"/>
  <c r="J24" i="6"/>
  <c r="I24" i="6"/>
  <c r="H24" i="6"/>
  <c r="G24" i="6"/>
  <c r="F24" i="6"/>
  <c r="E24" i="6"/>
  <c r="D24" i="6"/>
  <c r="B24" i="6"/>
  <c r="A24" i="6"/>
  <c r="L23" i="6"/>
  <c r="K23" i="6"/>
  <c r="J23" i="6"/>
  <c r="I23" i="6"/>
  <c r="H23" i="6"/>
  <c r="G23" i="6"/>
  <c r="F23" i="6"/>
  <c r="E23" i="6"/>
  <c r="D23" i="6"/>
  <c r="B23" i="6"/>
  <c r="A23" i="6"/>
  <c r="L22" i="6"/>
  <c r="K22" i="6"/>
  <c r="J22" i="6"/>
  <c r="I22" i="6"/>
  <c r="H22" i="6"/>
  <c r="G22" i="6"/>
  <c r="F22" i="6"/>
  <c r="E22" i="6"/>
  <c r="D22" i="6"/>
  <c r="B22" i="6"/>
  <c r="A22" i="6"/>
  <c r="L21" i="6"/>
  <c r="K21" i="6"/>
  <c r="J21" i="6"/>
  <c r="I21" i="6"/>
  <c r="H21" i="6"/>
  <c r="G21" i="6"/>
  <c r="F21" i="6"/>
  <c r="E21" i="6"/>
  <c r="D21" i="6"/>
  <c r="B21" i="6"/>
  <c r="A21" i="6"/>
  <c r="L20" i="6"/>
  <c r="K20" i="6"/>
  <c r="J20" i="6"/>
  <c r="I20" i="6"/>
  <c r="H20" i="6"/>
  <c r="G20" i="6"/>
  <c r="F20" i="6"/>
  <c r="E20" i="6"/>
  <c r="D20" i="6"/>
  <c r="B20" i="6"/>
  <c r="A20" i="6"/>
  <c r="L19" i="6"/>
  <c r="K19" i="6"/>
  <c r="J19" i="6"/>
  <c r="I19" i="6"/>
  <c r="H19" i="6"/>
  <c r="G19" i="6"/>
  <c r="F19" i="6"/>
  <c r="E19" i="6"/>
  <c r="D19" i="6"/>
  <c r="B19" i="6"/>
  <c r="A19" i="6"/>
  <c r="L18" i="6"/>
  <c r="K18" i="6"/>
  <c r="J18" i="6"/>
  <c r="I18" i="6"/>
  <c r="H18" i="6"/>
  <c r="G18" i="6"/>
  <c r="F18" i="6"/>
  <c r="E18" i="6"/>
  <c r="D18" i="6"/>
  <c r="B18" i="6"/>
  <c r="A18" i="6"/>
  <c r="L17" i="6"/>
  <c r="K17" i="6"/>
  <c r="J17" i="6"/>
  <c r="I17" i="6"/>
  <c r="H17" i="6"/>
  <c r="G17" i="6"/>
  <c r="F17" i="6"/>
  <c r="E17" i="6"/>
  <c r="D17" i="6"/>
  <c r="B17" i="6"/>
  <c r="A17" i="6"/>
  <c r="L16" i="6"/>
  <c r="K16" i="6"/>
  <c r="J16" i="6"/>
  <c r="I16" i="6"/>
  <c r="H16" i="6"/>
  <c r="G16" i="6"/>
  <c r="F16" i="6"/>
  <c r="E16" i="6"/>
  <c r="D16" i="6"/>
  <c r="B16" i="6"/>
  <c r="A16" i="6"/>
  <c r="L15" i="6"/>
  <c r="K15" i="6"/>
  <c r="J15" i="6"/>
  <c r="I15" i="6"/>
  <c r="H15" i="6"/>
  <c r="G15" i="6"/>
  <c r="F15" i="6"/>
  <c r="E15" i="6"/>
  <c r="D15" i="6"/>
  <c r="B15" i="6"/>
  <c r="A15" i="6"/>
  <c r="L14" i="6"/>
  <c r="K14" i="6"/>
  <c r="J14" i="6"/>
  <c r="I14" i="6"/>
  <c r="H14" i="6"/>
  <c r="G14" i="6"/>
  <c r="F14" i="6"/>
  <c r="E14" i="6"/>
  <c r="D14" i="6"/>
  <c r="B14" i="6"/>
  <c r="A14" i="6"/>
  <c r="L13" i="6"/>
  <c r="K13" i="6"/>
  <c r="J13" i="6"/>
  <c r="I13" i="6"/>
  <c r="H13" i="6"/>
  <c r="G13" i="6"/>
  <c r="F13" i="6"/>
  <c r="E13" i="6"/>
  <c r="D13" i="6"/>
  <c r="B13" i="6"/>
  <c r="A13" i="6"/>
  <c r="L12" i="6"/>
  <c r="K12" i="6"/>
  <c r="J12" i="6"/>
  <c r="I12" i="6"/>
  <c r="H12" i="6"/>
  <c r="G12" i="6"/>
  <c r="F12" i="6"/>
  <c r="E12" i="6"/>
  <c r="D12" i="6"/>
  <c r="B12" i="6"/>
  <c r="A12" i="6"/>
  <c r="L11" i="6"/>
  <c r="K11" i="6"/>
  <c r="J11" i="6"/>
  <c r="I11" i="6"/>
  <c r="H11" i="6"/>
  <c r="G11" i="6"/>
  <c r="F11" i="6"/>
  <c r="E11" i="6"/>
  <c r="D11" i="6"/>
  <c r="B11" i="6"/>
  <c r="A11" i="6"/>
  <c r="L10" i="6"/>
  <c r="K10" i="6"/>
  <c r="J10" i="6"/>
  <c r="I10" i="6"/>
  <c r="H10" i="6"/>
  <c r="G10" i="6"/>
  <c r="F10" i="6"/>
  <c r="E10" i="6"/>
  <c r="D10" i="6"/>
  <c r="B10" i="6"/>
  <c r="A10" i="6"/>
  <c r="L9" i="6"/>
  <c r="K9" i="6"/>
  <c r="J9" i="6"/>
  <c r="I9" i="6"/>
  <c r="H9" i="6"/>
  <c r="G9" i="6"/>
  <c r="F9" i="6"/>
  <c r="E9" i="6"/>
  <c r="D9" i="6"/>
  <c r="B9" i="6"/>
  <c r="A9" i="6"/>
  <c r="L8" i="6"/>
  <c r="K8" i="6"/>
  <c r="J8" i="6"/>
  <c r="I8" i="6"/>
  <c r="H8" i="6"/>
  <c r="G8" i="6"/>
  <c r="F8" i="6"/>
  <c r="E8" i="6"/>
  <c r="D8" i="6"/>
  <c r="B8" i="6"/>
  <c r="A8" i="6"/>
  <c r="L7" i="6"/>
  <c r="K7" i="6"/>
  <c r="J7" i="6"/>
  <c r="I7" i="6"/>
  <c r="H7" i="6"/>
  <c r="G7" i="6"/>
  <c r="F7" i="6"/>
  <c r="E7" i="6"/>
  <c r="D7" i="6"/>
  <c r="B7" i="6"/>
  <c r="A7" i="6"/>
  <c r="L6" i="6"/>
  <c r="K6" i="6"/>
  <c r="J6" i="6"/>
  <c r="I6" i="6"/>
  <c r="H6" i="6"/>
  <c r="G6" i="6"/>
  <c r="F6" i="6"/>
  <c r="E6" i="6"/>
  <c r="D6" i="6"/>
  <c r="B6" i="6"/>
  <c r="A6" i="6"/>
  <c r="J25" i="5"/>
  <c r="I25" i="5"/>
  <c r="G25" i="5"/>
  <c r="F25" i="5"/>
  <c r="J24" i="5"/>
  <c r="I24" i="5"/>
  <c r="G24" i="5"/>
  <c r="F24" i="5"/>
  <c r="J23" i="5"/>
  <c r="I23" i="5"/>
  <c r="G23" i="5"/>
  <c r="F23" i="5"/>
  <c r="J22" i="5"/>
  <c r="I22" i="5"/>
  <c r="G22" i="5"/>
  <c r="F22" i="5"/>
  <c r="J21" i="5"/>
  <c r="I21" i="5"/>
  <c r="G21" i="5"/>
  <c r="F21" i="5"/>
  <c r="J20" i="5"/>
  <c r="I20" i="5"/>
  <c r="G20" i="5"/>
  <c r="F20" i="5"/>
  <c r="J19" i="5"/>
  <c r="I19" i="5"/>
  <c r="G19" i="5"/>
  <c r="F19" i="5"/>
  <c r="J18" i="5"/>
  <c r="I18" i="5"/>
  <c r="G18" i="5"/>
  <c r="F18" i="5"/>
  <c r="J17" i="5"/>
  <c r="I17" i="5"/>
  <c r="G17" i="5"/>
  <c r="F17" i="5"/>
  <c r="J16" i="5"/>
  <c r="I16" i="5"/>
  <c r="G16" i="5"/>
  <c r="F16" i="5"/>
  <c r="J15" i="5"/>
  <c r="I15" i="5"/>
  <c r="G15" i="5"/>
  <c r="F15" i="5"/>
  <c r="J14" i="5"/>
  <c r="I14" i="5"/>
  <c r="G14" i="5"/>
  <c r="F14" i="5"/>
  <c r="J13" i="5"/>
  <c r="I13" i="5"/>
  <c r="G13" i="5"/>
  <c r="F13" i="5"/>
  <c r="J12" i="5"/>
  <c r="I12" i="5"/>
  <c r="G12" i="5"/>
  <c r="F12" i="5"/>
  <c r="J11" i="5"/>
  <c r="I11" i="5"/>
  <c r="G11" i="5"/>
  <c r="F11" i="5"/>
  <c r="J10" i="5"/>
  <c r="I10" i="5"/>
  <c r="G10" i="5"/>
  <c r="F10" i="5"/>
  <c r="J9" i="5"/>
  <c r="I9" i="5"/>
  <c r="G9" i="5"/>
  <c r="F9" i="5"/>
  <c r="J8" i="5"/>
  <c r="I8" i="5"/>
  <c r="G8" i="5"/>
  <c r="F8" i="5"/>
  <c r="J7" i="5"/>
  <c r="I7" i="5"/>
  <c r="G7" i="5"/>
  <c r="F7" i="5"/>
  <c r="J6" i="5"/>
  <c r="I6" i="5"/>
  <c r="G6" i="5"/>
  <c r="F6" i="5"/>
  <c r="K71" i="4"/>
  <c r="J71" i="4"/>
  <c r="G71" i="4"/>
  <c r="K70" i="4"/>
  <c r="J70" i="4"/>
  <c r="G70" i="4"/>
  <c r="K69" i="4"/>
  <c r="J69" i="4"/>
  <c r="G69" i="4"/>
  <c r="K68" i="4"/>
  <c r="J68" i="4"/>
  <c r="G68" i="4"/>
  <c r="K67" i="4"/>
  <c r="J67" i="4"/>
  <c r="G67" i="4"/>
  <c r="K66" i="4"/>
  <c r="J66" i="4"/>
  <c r="G66" i="4"/>
  <c r="K65" i="4"/>
  <c r="J65" i="4"/>
  <c r="H65" i="4"/>
  <c r="G65" i="4"/>
  <c r="F65" i="4"/>
  <c r="F66" i="4" s="1"/>
  <c r="K64" i="4"/>
  <c r="J64" i="4"/>
  <c r="G64" i="4"/>
  <c r="F64" i="4"/>
  <c r="H64" i="4" s="1"/>
  <c r="K57" i="4"/>
  <c r="J57" i="4"/>
  <c r="G57" i="4"/>
  <c r="K56" i="4"/>
  <c r="J56" i="4"/>
  <c r="G56" i="4"/>
  <c r="K55" i="4"/>
  <c r="J55" i="4"/>
  <c r="G55" i="4"/>
  <c r="K54" i="4"/>
  <c r="J54" i="4"/>
  <c r="G54" i="4"/>
  <c r="K53" i="4"/>
  <c r="J53" i="4"/>
  <c r="G53" i="4"/>
  <c r="K52" i="4"/>
  <c r="J52" i="4"/>
  <c r="G52" i="4"/>
  <c r="K51" i="4"/>
  <c r="J51" i="4"/>
  <c r="G51" i="4"/>
  <c r="K50" i="4"/>
  <c r="J50" i="4"/>
  <c r="G50" i="4"/>
  <c r="F50" i="4"/>
  <c r="H50" i="4" s="1"/>
  <c r="K43" i="4"/>
  <c r="J43" i="4"/>
  <c r="G43" i="4"/>
  <c r="K42" i="4"/>
  <c r="J42" i="4"/>
  <c r="G42" i="4"/>
  <c r="K41" i="4"/>
  <c r="J41" i="4"/>
  <c r="G41" i="4"/>
  <c r="K40" i="4"/>
  <c r="J40" i="4"/>
  <c r="G40" i="4"/>
  <c r="K39" i="4"/>
  <c r="J39" i="4"/>
  <c r="G39" i="4"/>
  <c r="K38" i="4"/>
  <c r="J38" i="4"/>
  <c r="G38" i="4"/>
  <c r="K37" i="4"/>
  <c r="J37" i="4"/>
  <c r="H37" i="4"/>
  <c r="G37" i="4"/>
  <c r="F37" i="4"/>
  <c r="F38" i="4" s="1"/>
  <c r="K36" i="4"/>
  <c r="J36" i="4"/>
  <c r="H36" i="4"/>
  <c r="G36" i="4"/>
  <c r="F36" i="4"/>
  <c r="K29" i="4"/>
  <c r="J29" i="4"/>
  <c r="G29" i="4"/>
  <c r="K28" i="4"/>
  <c r="J28" i="4"/>
  <c r="G28" i="4"/>
  <c r="K27" i="4"/>
  <c r="J27" i="4"/>
  <c r="G27" i="4"/>
  <c r="K26" i="4"/>
  <c r="J26" i="4"/>
  <c r="G26" i="4"/>
  <c r="K25" i="4"/>
  <c r="J25" i="4"/>
  <c r="G25" i="4"/>
  <c r="K24" i="4"/>
  <c r="J24" i="4"/>
  <c r="G24" i="4"/>
  <c r="K23" i="4"/>
  <c r="J23" i="4"/>
  <c r="G23" i="4"/>
  <c r="K22" i="4"/>
  <c r="J22" i="4"/>
  <c r="G22" i="4"/>
  <c r="F22" i="4"/>
  <c r="H22" i="4" s="1"/>
  <c r="G15" i="4"/>
  <c r="G14" i="4"/>
  <c r="G13" i="4"/>
  <c r="G12" i="4"/>
  <c r="G11" i="4"/>
  <c r="F11" i="4"/>
  <c r="F12" i="4" s="1"/>
  <c r="G10" i="4"/>
  <c r="H10" i="4" s="1"/>
  <c r="F10" i="4"/>
  <c r="G9" i="4"/>
  <c r="H9" i="4" s="1"/>
  <c r="F9" i="4"/>
  <c r="H8" i="4"/>
  <c r="G8" i="4"/>
  <c r="F8" i="4"/>
  <c r="C19" i="3"/>
  <c r="B19" i="3"/>
  <c r="C18" i="3"/>
  <c r="B18" i="3"/>
  <c r="C17" i="3"/>
  <c r="B17" i="3"/>
  <c r="F13" i="4" l="1"/>
  <c r="H12" i="4"/>
  <c r="F39" i="4"/>
  <c r="H38" i="4"/>
  <c r="F67" i="4"/>
  <c r="H66" i="4"/>
  <c r="H11" i="4"/>
  <c r="F23" i="4"/>
  <c r="F51" i="4"/>
  <c r="H67" i="4" l="1"/>
  <c r="F68" i="4"/>
  <c r="H39" i="4"/>
  <c r="F40" i="4"/>
  <c r="F24" i="4"/>
  <c r="H23" i="4"/>
  <c r="F52" i="4"/>
  <c r="H51" i="4"/>
  <c r="F14" i="4"/>
  <c r="H13" i="4"/>
  <c r="F15" i="4" l="1"/>
  <c r="H15" i="4" s="1"/>
  <c r="H14" i="4"/>
  <c r="F25" i="4"/>
  <c r="H24" i="4"/>
  <c r="F41" i="4"/>
  <c r="H40" i="4"/>
  <c r="F69" i="4"/>
  <c r="H68" i="4"/>
  <c r="F53" i="4"/>
  <c r="H52" i="4"/>
  <c r="H53" i="4" l="1"/>
  <c r="F54" i="4"/>
  <c r="F70" i="4"/>
  <c r="H69" i="4"/>
  <c r="F42" i="4"/>
  <c r="H41" i="4"/>
  <c r="H25" i="4"/>
  <c r="F26" i="4"/>
  <c r="F43" i="4" l="1"/>
  <c r="H43" i="4" s="1"/>
  <c r="H42" i="4"/>
  <c r="F27" i="4"/>
  <c r="H26" i="4"/>
  <c r="F71" i="4"/>
  <c r="H71" i="4" s="1"/>
  <c r="H70" i="4"/>
  <c r="F55" i="4"/>
  <c r="H54" i="4"/>
  <c r="H55" i="4" l="1"/>
  <c r="F56" i="4"/>
  <c r="H27" i="4"/>
  <c r="F28" i="4"/>
  <c r="H28" i="4" l="1"/>
  <c r="F29" i="4"/>
  <c r="H29" i="4" s="1"/>
  <c r="H56" i="4"/>
  <c r="F57" i="4"/>
  <c r="H57" i="4" s="1"/>
</calcChain>
</file>

<file path=xl/sharedStrings.xml><?xml version="1.0" encoding="utf-8"?>
<sst xmlns="http://schemas.openxmlformats.org/spreadsheetml/2006/main" count="261" uniqueCount="116">
  <si>
    <t>ROUTE CONFIGURATION - Transport Physics</t>
  </si>
  <si>
    <t>Define transport modes and warehouse costs. Yellow cells are editable.</t>
  </si>
  <si>
    <t>TABLE 1: TRANSPORT MODES</t>
  </si>
  <si>
    <t>Mode</t>
  </si>
  <si>
    <t>Lead Time (Fortnights)</t>
  </si>
  <si>
    <t>Cost Per Unit ($)</t>
  </si>
  <si>
    <t>Train</t>
  </si>
  <si>
    <t>Truck</t>
  </si>
  <si>
    <t>Plane</t>
  </si>
  <si>
    <t>TABLE 2: WAREHOUSE CONFIGURATION</t>
  </si>
  <si>
    <t>Zone</t>
  </si>
  <si>
    <t>Current Capacity</t>
  </si>
  <si>
    <t>Cost Per Module</t>
  </si>
  <si>
    <t>Capacity Per Module</t>
  </si>
  <si>
    <t>Center</t>
  </si>
  <si>
    <t>West</t>
  </si>
  <si>
    <t>North</t>
  </si>
  <si>
    <t>East</t>
  </si>
  <si>
    <t>South</t>
  </si>
  <si>
    <t>Route Cost Database (Generated from Case Parameters)</t>
  </si>
  <si>
    <t>From</t>
  </si>
  <si>
    <t>To</t>
  </si>
  <si>
    <t>Cost</t>
  </si>
  <si>
    <t>LeadTime</t>
  </si>
  <si>
    <t>ROUTE OPTIMIZER &amp; MATRIX</t>
  </si>
  <si>
    <t>Cheapest Transport Mode Matrix ($ Cost)</t>
  </si>
  <si>
    <t>-</t>
  </si>
  <si>
    <t>N/A
($999999)</t>
  </si>
  <si>
    <t>ROUTE CALCULATOR</t>
  </si>
  <si>
    <t>From:</t>
  </si>
  <si>
    <t>To:</t>
  </si>
  <si>
    <t>Lead Time</t>
  </si>
  <si>
    <t>Savings vs Air</t>
  </si>
  <si>
    <t>Airplane</t>
  </si>
  <si>
    <t>INVENTORY TETRIS - Zone-by-Zone Balance</t>
  </si>
  <si>
    <t>Balance inventory. Watch: 🔴STOCKOUT (red), 🟡WARNING &gt;90% (yellow), 🟣OVERFLOW (purple).</t>
  </si>
  <si>
    <t>═══ CENTER ZONE (Capacity: 4,800) ═══</t>
  </si>
  <si>
    <t>Last Period Rent: $38,400</t>
  </si>
  <si>
    <t>Opening Inventory</t>
  </si>
  <si>
    <t>Capacity</t>
  </si>
  <si>
    <t>Rent Modules?</t>
  </si>
  <si>
    <t>Fortnight</t>
  </si>
  <si>
    <t>Production</t>
  </si>
  <si>
    <t>Sales</t>
  </si>
  <si>
    <t>Outgoing</t>
  </si>
  <si>
    <t>Incoming</t>
  </si>
  <si>
    <t>Projected Inv</t>
  </si>
  <si>
    <t>Flag</t>
  </si>
  <si>
    <t>FN1</t>
  </si>
  <si>
    <t>FN2</t>
  </si>
  <si>
    <t>FN3</t>
  </si>
  <si>
    <t>FN4</t>
  </si>
  <si>
    <t>FN5</t>
  </si>
  <si>
    <t>FN6</t>
  </si>
  <si>
    <t>FN7</t>
  </si>
  <si>
    <t>FN8</t>
  </si>
  <si>
    <t>═══ WEST ZONE (Capacity: 2,500) ═══</t>
  </si>
  <si>
    <t>Last Period Rent: $20,000</t>
  </si>
  <si>
    <t>Total Supply</t>
  </si>
  <si>
    <t>Total Demand</t>
  </si>
  <si>
    <t>═══ NORTH ZONE (Capacity: 2,000) ═══</t>
  </si>
  <si>
    <t>Last Period Rent: $16,000</t>
  </si>
  <si>
    <t>═══ EAST ZONE (Capacity: 0) ═══</t>
  </si>
  <si>
    <t>═══ SOUTH ZONE (Capacity: 0) ═══</t>
  </si>
  <si>
    <t>SHIPMENT BUILDER - Plan Your Transfers</t>
  </si>
  <si>
    <t>Add shipments here. MANUALLY update Outgoing/Incoming in INVENTORY_TETRIS (shifted by Lead Time).</t>
  </si>
  <si>
    <t>SHIPMENT LOG</t>
  </si>
  <si>
    <t>HISTORICAL COST BENCHMARKS</t>
  </si>
  <si>
    <t>Values</t>
  </si>
  <si>
    <t>From Zone</t>
  </si>
  <si>
    <t>To Zone</t>
  </si>
  <si>
    <t>Transport Mode</t>
  </si>
  <si>
    <t>Units</t>
  </si>
  <si>
    <t>Cost/Unit</t>
  </si>
  <si>
    <t>Total Cost</t>
  </si>
  <si>
    <t>Ship FN</t>
  </si>
  <si>
    <t>Arrive FN</t>
  </si>
  <si>
    <t>Route</t>
  </si>
  <si>
    <t>Benchmark $/Unit</t>
  </si>
  <si>
    <t>Shipment 1</t>
  </si>
  <si>
    <t>Train (Center - West)</t>
  </si>
  <si>
    <t>Shipment 2</t>
  </si>
  <si>
    <t>Train (Center - North)</t>
  </si>
  <si>
    <t>Shipment 3</t>
  </si>
  <si>
    <t>Shipment 4</t>
  </si>
  <si>
    <t>Shipment 5</t>
  </si>
  <si>
    <t>Shipment 6</t>
  </si>
  <si>
    <t>Shipment 7</t>
  </si>
  <si>
    <t>Shipment 8</t>
  </si>
  <si>
    <t>Shipment 9</t>
  </si>
  <si>
    <t>Shipment 10</t>
  </si>
  <si>
    <t>Shipment 11</t>
  </si>
  <si>
    <t>Shipment 12</t>
  </si>
  <si>
    <t>Shipment 13</t>
  </si>
  <si>
    <t>Shipment 14</t>
  </si>
  <si>
    <t>Shipment 15</t>
  </si>
  <si>
    <t>Shipment 16</t>
  </si>
  <si>
    <t>Shipment 17</t>
  </si>
  <si>
    <t>Shipment 18</t>
  </si>
  <si>
    <t>Shipment 19</t>
  </si>
  <si>
    <t>Shipment 20</t>
  </si>
  <si>
    <t>⚠️ Red cells = Cost &gt;20% above avg benchmark ($14.76 avg)</t>
  </si>
  <si>
    <t>LOGISTICS DECISIONS - ExSim Upload Format</t>
  </si>
  <si>
    <t>Copy these values to the web platform.</t>
  </si>
  <si>
    <t>Planned Shipments</t>
  </si>
  <si>
    <t>Material</t>
  </si>
  <si>
    <t>Amount</t>
  </si>
  <si>
    <t>F1</t>
  </si>
  <si>
    <t>F2</t>
  </si>
  <si>
    <t>F3</t>
  </si>
  <si>
    <t>F4</t>
  </si>
  <si>
    <t>F5</t>
  </si>
  <si>
    <t>F6</t>
  </si>
  <si>
    <t>F7</t>
  </si>
  <si>
    <t>F8</t>
  </si>
  <si>
    <t>Electroclean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</si>
</sst>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#,##0"/>
    <numFmt numFmtId="165" formatCode="\$#,##0.00"/>
  </numFmts>
  <fonts count="10" x14ac:knownFonts="1">
    <font>
      <sz val="11"/>
      <color theme="1"/>
      <name val="Calibri"/>
      <family val="2"/>
      <scheme val="minor"/>
    </font>
    <font>
      <b/>
      <sz val="14"/>
      <color rgb="FF2F5496"/>
      <name val="Calibri"/>
    </font>
    <font>
      <i/>
      <sz val="11"/>
      <color rgb="FF666666"/>
      <name val="Calibri"/>
    </font>
    <font>
      <b/>
      <sz val="12"/>
      <color rgb="FF2F5496"/>
      <name val="Calibri"/>
    </font>
    <font>
      <b/>
      <sz val="11"/>
      <color rgb="FFFFFFFF"/>
      <name val="Calibri"/>
    </font>
    <font>
      <sz val="11"/>
      <color rgb="FFFFFFFF"/>
      <name val="Calibri"/>
    </font>
    <font>
      <b/>
      <sz val="11"/>
      <name val="Calibri"/>
    </font>
    <font>
      <b/>
      <sz val="11"/>
      <color rgb="FFFFFFFF"/>
      <name val="Calibri"/>
    </font>
    <font>
      <b/>
      <sz val="11"/>
      <color rgb="FFC00000"/>
      <name val="Calibri"/>
    </font>
    <font>
      <i/>
      <sz val="11"/>
      <color rgb="FF9C0006"/>
      <name val="Calibri"/>
    </font>
  </fonts>
  <fills count="13">
    <fill>
      <patternFill patternType="none"/>
    </fill>
    <fill>
      <patternFill patternType="gray125"/>
    </fill>
    <fill>
      <patternFill patternType="solid">
        <fgColor rgb="FF2F5496"/>
        <bgColor rgb="FF2F5496"/>
      </patternFill>
    </fill>
    <fill>
      <patternFill patternType="solid">
        <fgColor rgb="FFFFF2CC"/>
        <bgColor rgb="FFFFF2CC"/>
      </patternFill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ED7D31"/>
        <bgColor rgb="FFED7D31"/>
      </patternFill>
    </fill>
    <fill>
      <patternFill patternType="solid">
        <fgColor rgb="FF70AD47"/>
        <bgColor rgb="FF70AD47"/>
      </patternFill>
    </fill>
    <fill>
      <patternFill patternType="solid">
        <fgColor rgb="FFFFC000"/>
        <bgColor rgb="FFFFC000"/>
      </patternFill>
    </fill>
    <fill>
      <patternFill patternType="solid">
        <fgColor rgb="FF9E480E"/>
        <bgColor rgb="FF9E480E"/>
      </patternFill>
    </fill>
    <fill>
      <patternFill patternType="solid">
        <fgColor rgb="FFEEEEEE"/>
        <bgColor rgb="FFEEEEEE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/>
    <xf numFmtId="0" fontId="0" fillId="0" borderId="1" xfId="0" applyBorder="1"/>
    <xf numFmtId="0" fontId="0" fillId="3" borderId="1" xfId="0" applyFill="1" applyBorder="1"/>
    <xf numFmtId="164" fontId="0" fillId="3" borderId="1" xfId="0" applyNumberFormat="1" applyFill="1" applyBorder="1"/>
    <xf numFmtId="0" fontId="5" fillId="4" borderId="1" xfId="0" applyFont="1" applyFill="1" applyBorder="1"/>
    <xf numFmtId="0" fontId="0" fillId="5" borderId="1" xfId="0" applyFill="1" applyBorder="1"/>
    <xf numFmtId="0" fontId="5" fillId="6" borderId="1" xfId="0" applyFont="1" applyFill="1" applyBorder="1"/>
    <xf numFmtId="0" fontId="5" fillId="7" borderId="1" xfId="0" applyFont="1" applyFill="1" applyBorder="1"/>
    <xf numFmtId="0" fontId="5" fillId="8" borderId="1" xfId="0" applyFont="1" applyFill="1" applyBorder="1"/>
    <xf numFmtId="0" fontId="5" fillId="9" borderId="1" xfId="0" applyFont="1" applyFill="1" applyBorder="1"/>
    <xf numFmtId="0" fontId="4" fillId="0" borderId="0" xfId="0" applyFont="1"/>
    <xf numFmtId="0" fontId="4" fillId="4" borderId="0" xfId="0" applyFont="1" applyFill="1" applyAlignment="1">
      <alignment horizontal="center"/>
    </xf>
    <xf numFmtId="0" fontId="4" fillId="6" borderId="0" xfId="0" applyFont="1" applyFill="1" applyAlignment="1">
      <alignment horizontal="center"/>
    </xf>
    <xf numFmtId="0" fontId="4" fillId="7" borderId="0" xfId="0" applyFont="1" applyFill="1" applyAlignment="1">
      <alignment horizontal="center"/>
    </xf>
    <xf numFmtId="0" fontId="4" fillId="8" borderId="0" xfId="0" applyFont="1" applyFill="1" applyAlignment="1">
      <alignment horizontal="center"/>
    </xf>
    <xf numFmtId="0" fontId="4" fillId="9" borderId="0" xfId="0" applyFont="1" applyFill="1" applyAlignment="1">
      <alignment horizontal="center"/>
    </xf>
    <xf numFmtId="0" fontId="4" fillId="4" borderId="0" xfId="0" applyFont="1" applyFill="1"/>
    <xf numFmtId="0" fontId="0" fillId="10" borderId="0" xfId="0" applyFill="1" applyAlignment="1">
      <alignment horizontal="center"/>
    </xf>
    <xf numFmtId="0" fontId="0" fillId="3" borderId="1" xfId="0" applyFill="1" applyBorder="1" applyAlignment="1">
      <alignment horizontal="center" wrapText="1"/>
    </xf>
    <xf numFmtId="0" fontId="4" fillId="6" borderId="0" xfId="0" applyFont="1" applyFill="1"/>
    <xf numFmtId="0" fontId="4" fillId="7" borderId="0" xfId="0" applyFont="1" applyFill="1"/>
    <xf numFmtId="0" fontId="4" fillId="8" borderId="0" xfId="0" applyFont="1" applyFill="1"/>
    <xf numFmtId="0" fontId="4" fillId="9" borderId="0" xfId="0" applyFont="1" applyFill="1"/>
    <xf numFmtId="0" fontId="6" fillId="0" borderId="0" xfId="0" applyFont="1"/>
    <xf numFmtId="0" fontId="4" fillId="2" borderId="0" xfId="0" applyFont="1" applyFill="1"/>
    <xf numFmtId="164" fontId="0" fillId="0" borderId="1" xfId="0" applyNumberFormat="1" applyBorder="1"/>
    <xf numFmtId="0" fontId="8" fillId="0" borderId="0" xfId="0" applyFont="1"/>
    <xf numFmtId="0" fontId="4" fillId="4" borderId="1" xfId="0" applyFont="1" applyFill="1" applyBorder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7" borderId="1" xfId="0" applyFont="1" applyFill="1" applyBorder="1" applyAlignment="1">
      <alignment horizontal="center"/>
    </xf>
    <xf numFmtId="0" fontId="4" fillId="8" borderId="1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164" fontId="0" fillId="11" borderId="1" xfId="0" applyNumberFormat="1" applyFill="1" applyBorder="1"/>
    <xf numFmtId="0" fontId="0" fillId="3" borderId="1" xfId="0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6" fillId="12" borderId="1" xfId="0" applyFont="1" applyFill="1" applyBorder="1" applyAlignment="1">
      <alignment horizontal="center"/>
    </xf>
    <xf numFmtId="165" fontId="0" fillId="5" borderId="1" xfId="0" applyNumberFormat="1" applyFill="1" applyBorder="1"/>
    <xf numFmtId="0" fontId="9" fillId="0" borderId="0" xfId="0" applyFont="1"/>
    <xf numFmtId="0" fontId="0" fillId="11" borderId="1" xfId="0" applyFill="1" applyBorder="1"/>
    <xf numFmtId="0" fontId="7" fillId="6" borderId="0" xfId="0" applyFont="1" applyFill="1" applyAlignment="1">
      <alignment horizontal="center"/>
    </xf>
    <xf numFmtId="0" fontId="0" fillId="0" borderId="0" xfId="0"/>
    <xf numFmtId="0" fontId="7" fillId="4" borderId="0" xfId="0" applyFont="1" applyFill="1" applyAlignment="1">
      <alignment horizontal="center"/>
    </xf>
    <xf numFmtId="0" fontId="7" fillId="9" borderId="0" xfId="0" applyFont="1" applyFill="1" applyAlignment="1">
      <alignment horizontal="center"/>
    </xf>
    <xf numFmtId="0" fontId="7" fillId="8" borderId="0" xfId="0" applyFont="1" applyFill="1" applyAlignment="1">
      <alignment horizontal="center"/>
    </xf>
    <xf numFmtId="0" fontId="7" fillId="7" borderId="0" xfId="0" applyFont="1" applyFill="1" applyAlignment="1">
      <alignment horizontal="center"/>
    </xf>
    <xf numFmtId="0" fontId="3" fillId="0" borderId="0" xfId="0" applyFont="1"/>
  </cellXfs>
  <cellStyles count="1">
    <cellStyle name="Normal" xfId="0" builtinId="0"/>
  </cellStyles>
  <dxfs count="21">
    <dxf>
      <font>
        <b/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C00"/>
          <bgColor rgb="FFFFCC00"/>
        </patternFill>
      </fill>
    </dxf>
    <dxf>
      <fill>
        <patternFill patternType="solid">
          <fgColor rgb="FFE4DFEC"/>
          <bgColor rgb="FFE4DFE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C00"/>
          <bgColor rgb="FFFFCC00"/>
        </patternFill>
      </fill>
    </dxf>
    <dxf>
      <fill>
        <patternFill patternType="solid">
          <fgColor rgb="FFE4DFEC"/>
          <bgColor rgb="FFE4DFE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C00"/>
          <bgColor rgb="FFFFCC00"/>
        </patternFill>
      </fill>
    </dxf>
    <dxf>
      <fill>
        <patternFill patternType="solid">
          <fgColor rgb="FFE4DFEC"/>
          <bgColor rgb="FFE4DFE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C00"/>
          <bgColor rgb="FFFFCC00"/>
        </patternFill>
      </fill>
    </dxf>
    <dxf>
      <fill>
        <patternFill patternType="solid">
          <fgColor rgb="FFE4DFEC"/>
          <bgColor rgb="FFE4DFE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C00"/>
          <bgColor rgb="FFFFCC00"/>
        </patternFill>
      </fill>
    </dxf>
    <dxf>
      <fill>
        <patternFill patternType="solid">
          <fgColor rgb="FFE4DFEC"/>
          <bgColor rgb="FFE4DFEC"/>
        </patternFill>
      </fill>
    </dxf>
    <dxf>
      <fill>
        <patternFill patternType="solid">
          <fgColor rgb="FFFFC7CE"/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Warehouse Tetris (Inv vs Capacity)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v>Ending Inv</c:v>
          </c:tx>
          <c:spPr>
            <a:ln>
              <a:prstDash val="solid"/>
            </a:ln>
          </c:spPr>
          <c:invertIfNegative val="1"/>
          <c:cat>
            <c:strRef>
              <c:f>INVENTORY_TETRIS!$A$8:$A$15</c:f>
              <c:strCache>
                <c:ptCount val="8"/>
                <c:pt idx="0">
                  <c:v>FN1</c:v>
                </c:pt>
                <c:pt idx="1">
                  <c:v>FN2</c:v>
                </c:pt>
                <c:pt idx="2">
                  <c:v>FN3</c:v>
                </c:pt>
                <c:pt idx="3">
                  <c:v>FN4</c:v>
                </c:pt>
                <c:pt idx="4">
                  <c:v>FN5</c:v>
                </c:pt>
                <c:pt idx="5">
                  <c:v>FN6</c:v>
                </c:pt>
                <c:pt idx="6">
                  <c:v>FN7</c:v>
                </c:pt>
                <c:pt idx="7">
                  <c:v>FN8</c:v>
                </c:pt>
              </c:strCache>
            </c:strRef>
          </c:cat>
          <c:val>
            <c:numRef>
              <c:f>INVENTORY_TETRIS!$F$8:$F$15</c:f>
              <c:numCache>
                <c:formatCode>General</c:formatCode>
                <c:ptCount val="8"/>
                <c:pt idx="0">
                  <c:v>3410</c:v>
                </c:pt>
                <c:pt idx="1">
                  <c:v>3410</c:v>
                </c:pt>
                <c:pt idx="2">
                  <c:v>3410</c:v>
                </c:pt>
                <c:pt idx="3">
                  <c:v>3410</c:v>
                </c:pt>
                <c:pt idx="4">
                  <c:v>3410</c:v>
                </c:pt>
                <c:pt idx="5">
                  <c:v>3410</c:v>
                </c:pt>
                <c:pt idx="6">
                  <c:v>3410</c:v>
                </c:pt>
                <c:pt idx="7">
                  <c:v>3410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9D5-49C2-B585-D79EA26B15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lineChart>
        <c:grouping val="standard"/>
        <c:varyColors val="1"/>
        <c:ser>
          <c:idx val="1"/>
          <c:order val="1"/>
          <c:tx>
            <c:v>Capacity Limit</c:v>
          </c:tx>
          <c:spPr>
            <a:ln>
              <a:solidFill>
                <a:srgbClr val="FF0000"/>
              </a:solidFill>
              <a:prstDash val="solid"/>
            </a:ln>
          </c:spPr>
          <c:marker>
            <c:symbol val="none"/>
          </c:marker>
          <c:val>
            <c:numRef>
              <c:f>INVENTORY_TETRIS!$G$8:$G$15</c:f>
              <c:numCache>
                <c:formatCode>General</c:formatCode>
                <c:ptCount val="8"/>
                <c:pt idx="0">
                  <c:v>4800</c:v>
                </c:pt>
                <c:pt idx="1">
                  <c:v>4800</c:v>
                </c:pt>
                <c:pt idx="2">
                  <c:v>4800</c:v>
                </c:pt>
                <c:pt idx="3">
                  <c:v>4800</c:v>
                </c:pt>
                <c:pt idx="4">
                  <c:v>4800</c:v>
                </c:pt>
                <c:pt idx="5">
                  <c:v>4800</c:v>
                </c:pt>
                <c:pt idx="6">
                  <c:v>4800</c:v>
                </c:pt>
                <c:pt idx="7">
                  <c:v>4800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9D5-49C2-B585-D79EA26B15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Fortnight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Units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West Supply vs Demand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v>Total Supply</c:v>
          </c:tx>
          <c:spPr>
            <a:ln>
              <a:prstDash val="solid"/>
            </a:ln>
          </c:spPr>
          <c:invertIfNegative val="1"/>
          <c:cat>
            <c:strRef>
              <c:f>INVENTORY_TETRIS!$A$22:$A$29</c:f>
              <c:strCache>
                <c:ptCount val="8"/>
                <c:pt idx="0">
                  <c:v>FN1</c:v>
                </c:pt>
                <c:pt idx="1">
                  <c:v>FN2</c:v>
                </c:pt>
                <c:pt idx="2">
                  <c:v>FN3</c:v>
                </c:pt>
                <c:pt idx="3">
                  <c:v>FN4</c:v>
                </c:pt>
                <c:pt idx="4">
                  <c:v>FN5</c:v>
                </c:pt>
                <c:pt idx="5">
                  <c:v>FN6</c:v>
                </c:pt>
                <c:pt idx="6">
                  <c:v>FN7</c:v>
                </c:pt>
                <c:pt idx="7">
                  <c:v>FN8</c:v>
                </c:pt>
              </c:strCache>
            </c:strRef>
          </c:cat>
          <c:val>
            <c:numRef>
              <c:f>INVENTORY_TETRIS!$J$22:$J$29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740-4A6C-8E50-D7B5A1E4042B}"/>
            </c:ext>
          </c:extLst>
        </c:ser>
        <c:ser>
          <c:idx val="1"/>
          <c:order val="1"/>
          <c:tx>
            <c:v>Total Demand</c:v>
          </c:tx>
          <c:spPr>
            <a:ln>
              <a:prstDash val="solid"/>
            </a:ln>
          </c:spPr>
          <c:invertIfNegative val="1"/>
          <c:cat>
            <c:strRef>
              <c:f>INVENTORY_TETRIS!$A$22:$A$29</c:f>
              <c:strCache>
                <c:ptCount val="8"/>
                <c:pt idx="0">
                  <c:v>FN1</c:v>
                </c:pt>
                <c:pt idx="1">
                  <c:v>FN2</c:v>
                </c:pt>
                <c:pt idx="2">
                  <c:v>FN3</c:v>
                </c:pt>
                <c:pt idx="3">
                  <c:v>FN4</c:v>
                </c:pt>
                <c:pt idx="4">
                  <c:v>FN5</c:v>
                </c:pt>
                <c:pt idx="5">
                  <c:v>FN6</c:v>
                </c:pt>
                <c:pt idx="6">
                  <c:v>FN7</c:v>
                </c:pt>
                <c:pt idx="7">
                  <c:v>FN8</c:v>
                </c:pt>
              </c:strCache>
            </c:strRef>
          </c:cat>
          <c:val>
            <c:numRef>
              <c:f>INVENTORY_TETRIS!$K$22:$K$29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740-4A6C-8E50-D7B5A1E404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Units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North Supply vs Demand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v>Total Supply</c:v>
          </c:tx>
          <c:spPr>
            <a:ln>
              <a:prstDash val="solid"/>
            </a:ln>
          </c:spPr>
          <c:invertIfNegative val="1"/>
          <c:cat>
            <c:strRef>
              <c:f>INVENTORY_TETRIS!$A$36:$A$43</c:f>
              <c:strCache>
                <c:ptCount val="8"/>
                <c:pt idx="0">
                  <c:v>FN1</c:v>
                </c:pt>
                <c:pt idx="1">
                  <c:v>FN2</c:v>
                </c:pt>
                <c:pt idx="2">
                  <c:v>FN3</c:v>
                </c:pt>
                <c:pt idx="3">
                  <c:v>FN4</c:v>
                </c:pt>
                <c:pt idx="4">
                  <c:v>FN5</c:v>
                </c:pt>
                <c:pt idx="5">
                  <c:v>FN6</c:v>
                </c:pt>
                <c:pt idx="6">
                  <c:v>FN7</c:v>
                </c:pt>
                <c:pt idx="7">
                  <c:v>FN8</c:v>
                </c:pt>
              </c:strCache>
            </c:strRef>
          </c:cat>
          <c:val>
            <c:numRef>
              <c:f>INVENTORY_TETRIS!$J$36:$J$43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50-4946-956C-10B1FF4A82DB}"/>
            </c:ext>
          </c:extLst>
        </c:ser>
        <c:ser>
          <c:idx val="1"/>
          <c:order val="1"/>
          <c:tx>
            <c:v>Total Demand</c:v>
          </c:tx>
          <c:spPr>
            <a:ln>
              <a:prstDash val="solid"/>
            </a:ln>
          </c:spPr>
          <c:invertIfNegative val="1"/>
          <c:cat>
            <c:strRef>
              <c:f>INVENTORY_TETRIS!$A$36:$A$43</c:f>
              <c:strCache>
                <c:ptCount val="8"/>
                <c:pt idx="0">
                  <c:v>FN1</c:v>
                </c:pt>
                <c:pt idx="1">
                  <c:v>FN2</c:v>
                </c:pt>
                <c:pt idx="2">
                  <c:v>FN3</c:v>
                </c:pt>
                <c:pt idx="3">
                  <c:v>FN4</c:v>
                </c:pt>
                <c:pt idx="4">
                  <c:v>FN5</c:v>
                </c:pt>
                <c:pt idx="5">
                  <c:v>FN6</c:v>
                </c:pt>
                <c:pt idx="6">
                  <c:v>FN7</c:v>
                </c:pt>
                <c:pt idx="7">
                  <c:v>FN8</c:v>
                </c:pt>
              </c:strCache>
            </c:strRef>
          </c:cat>
          <c:val>
            <c:numRef>
              <c:f>INVENTORY_TETRIS!$K$36:$K$43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E50-4946-956C-10B1FF4A82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Units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East Supply vs Demand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v>Total Supply</c:v>
          </c:tx>
          <c:spPr>
            <a:ln>
              <a:prstDash val="solid"/>
            </a:ln>
          </c:spPr>
          <c:invertIfNegative val="1"/>
          <c:cat>
            <c:strRef>
              <c:f>INVENTORY_TETRIS!$A$50:$A$57</c:f>
              <c:strCache>
                <c:ptCount val="8"/>
                <c:pt idx="0">
                  <c:v>FN1</c:v>
                </c:pt>
                <c:pt idx="1">
                  <c:v>FN2</c:v>
                </c:pt>
                <c:pt idx="2">
                  <c:v>FN3</c:v>
                </c:pt>
                <c:pt idx="3">
                  <c:v>FN4</c:v>
                </c:pt>
                <c:pt idx="4">
                  <c:v>FN5</c:v>
                </c:pt>
                <c:pt idx="5">
                  <c:v>FN6</c:v>
                </c:pt>
                <c:pt idx="6">
                  <c:v>FN7</c:v>
                </c:pt>
                <c:pt idx="7">
                  <c:v>FN8</c:v>
                </c:pt>
              </c:strCache>
            </c:strRef>
          </c:cat>
          <c:val>
            <c:numRef>
              <c:f>INVENTORY_TETRIS!$J$50:$J$57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F4-498C-9021-FC176B2F243B}"/>
            </c:ext>
          </c:extLst>
        </c:ser>
        <c:ser>
          <c:idx val="1"/>
          <c:order val="1"/>
          <c:tx>
            <c:v>Total Demand</c:v>
          </c:tx>
          <c:spPr>
            <a:ln>
              <a:prstDash val="solid"/>
            </a:ln>
          </c:spPr>
          <c:invertIfNegative val="1"/>
          <c:cat>
            <c:strRef>
              <c:f>INVENTORY_TETRIS!$A$50:$A$57</c:f>
              <c:strCache>
                <c:ptCount val="8"/>
                <c:pt idx="0">
                  <c:v>FN1</c:v>
                </c:pt>
                <c:pt idx="1">
                  <c:v>FN2</c:v>
                </c:pt>
                <c:pt idx="2">
                  <c:v>FN3</c:v>
                </c:pt>
                <c:pt idx="3">
                  <c:v>FN4</c:v>
                </c:pt>
                <c:pt idx="4">
                  <c:v>FN5</c:v>
                </c:pt>
                <c:pt idx="5">
                  <c:v>FN6</c:v>
                </c:pt>
                <c:pt idx="6">
                  <c:v>FN7</c:v>
                </c:pt>
                <c:pt idx="7">
                  <c:v>FN8</c:v>
                </c:pt>
              </c:strCache>
            </c:strRef>
          </c:cat>
          <c:val>
            <c:numRef>
              <c:f>INVENTORY_TETRIS!$K$50:$K$57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4F4-498C-9021-FC176B2F24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Units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South Supply vs Demand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v>Total Supply</c:v>
          </c:tx>
          <c:spPr>
            <a:ln>
              <a:prstDash val="solid"/>
            </a:ln>
          </c:spPr>
          <c:invertIfNegative val="1"/>
          <c:cat>
            <c:strRef>
              <c:f>INVENTORY_TETRIS!$A$64:$A$71</c:f>
              <c:strCache>
                <c:ptCount val="8"/>
                <c:pt idx="0">
                  <c:v>FN1</c:v>
                </c:pt>
                <c:pt idx="1">
                  <c:v>FN2</c:v>
                </c:pt>
                <c:pt idx="2">
                  <c:v>FN3</c:v>
                </c:pt>
                <c:pt idx="3">
                  <c:v>FN4</c:v>
                </c:pt>
                <c:pt idx="4">
                  <c:v>FN5</c:v>
                </c:pt>
                <c:pt idx="5">
                  <c:v>FN6</c:v>
                </c:pt>
                <c:pt idx="6">
                  <c:v>FN7</c:v>
                </c:pt>
                <c:pt idx="7">
                  <c:v>FN8</c:v>
                </c:pt>
              </c:strCache>
            </c:strRef>
          </c:cat>
          <c:val>
            <c:numRef>
              <c:f>INVENTORY_TETRIS!$J$64:$J$71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00-46CC-8F31-2995C830E415}"/>
            </c:ext>
          </c:extLst>
        </c:ser>
        <c:ser>
          <c:idx val="1"/>
          <c:order val="1"/>
          <c:tx>
            <c:v>Total Demand</c:v>
          </c:tx>
          <c:spPr>
            <a:ln>
              <a:prstDash val="solid"/>
            </a:ln>
          </c:spPr>
          <c:invertIfNegative val="1"/>
          <c:cat>
            <c:strRef>
              <c:f>INVENTORY_TETRIS!$A$64:$A$71</c:f>
              <c:strCache>
                <c:ptCount val="8"/>
                <c:pt idx="0">
                  <c:v>FN1</c:v>
                </c:pt>
                <c:pt idx="1">
                  <c:v>FN2</c:v>
                </c:pt>
                <c:pt idx="2">
                  <c:v>FN3</c:v>
                </c:pt>
                <c:pt idx="3">
                  <c:v>FN4</c:v>
                </c:pt>
                <c:pt idx="4">
                  <c:v>FN5</c:v>
                </c:pt>
                <c:pt idx="5">
                  <c:v>FN6</c:v>
                </c:pt>
                <c:pt idx="6">
                  <c:v>FN7</c:v>
                </c:pt>
                <c:pt idx="7">
                  <c:v>FN8</c:v>
                </c:pt>
              </c:strCache>
            </c:strRef>
          </c:cat>
          <c:val>
            <c:numRef>
              <c:f>INVENTORY_TETRIS!$K$64:$K$71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00-46CC-8F31-2995C830E4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Units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0</xdr:colOff>
      <xdr:row>3</xdr:row>
      <xdr:rowOff>0</xdr:rowOff>
    </xdr:from>
    <xdr:ext cx="540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9</xdr:col>
      <xdr:colOff>0</xdr:colOff>
      <xdr:row>17</xdr:row>
      <xdr:rowOff>0</xdr:rowOff>
    </xdr:from>
    <xdr:ext cx="5400000" cy="36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9</xdr:col>
      <xdr:colOff>0</xdr:colOff>
      <xdr:row>31</xdr:row>
      <xdr:rowOff>0</xdr:rowOff>
    </xdr:from>
    <xdr:ext cx="5400000" cy="360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9</xdr:col>
      <xdr:colOff>0</xdr:colOff>
      <xdr:row>45</xdr:row>
      <xdr:rowOff>0</xdr:rowOff>
    </xdr:from>
    <xdr:ext cx="5400000" cy="360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9</xdr:col>
      <xdr:colOff>0</xdr:colOff>
      <xdr:row>59</xdr:row>
      <xdr:rowOff>0</xdr:rowOff>
    </xdr:from>
    <xdr:ext cx="5400000" cy="360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7"/>
  <sheetViews>
    <sheetView tabSelected="1" workbookViewId="0"/>
  </sheetViews>
  <sheetFormatPr defaultRowHeight="15" x14ac:dyDescent="0.25"/>
  <cols>
    <col min="1" max="1" width="12" customWidth="1"/>
    <col min="2" max="2" width="22" customWidth="1"/>
    <col min="3" max="3" width="18" customWidth="1"/>
    <col min="4" max="4" width="22" customWidth="1"/>
  </cols>
  <sheetData>
    <row r="1" spans="1:4" ht="18.75" x14ac:dyDescent="0.3">
      <c r="A1" s="1" t="s">
        <v>0</v>
      </c>
    </row>
    <row r="2" spans="1:4" x14ac:dyDescent="0.25">
      <c r="A2" s="2" t="s">
        <v>1</v>
      </c>
    </row>
    <row r="4" spans="1:4" ht="15.75" x14ac:dyDescent="0.25">
      <c r="A4" s="3" t="s">
        <v>2</v>
      </c>
    </row>
    <row r="5" spans="1:4" x14ac:dyDescent="0.25">
      <c r="A5" s="4" t="s">
        <v>3</v>
      </c>
      <c r="B5" s="4" t="s">
        <v>4</v>
      </c>
      <c r="C5" s="4" t="s">
        <v>5</v>
      </c>
    </row>
    <row r="6" spans="1:4" x14ac:dyDescent="0.25">
      <c r="A6" s="5" t="s">
        <v>6</v>
      </c>
      <c r="B6" s="6">
        <v>0</v>
      </c>
      <c r="C6" s="7">
        <v>0</v>
      </c>
    </row>
    <row r="7" spans="1:4" x14ac:dyDescent="0.25">
      <c r="A7" s="5" t="s">
        <v>7</v>
      </c>
      <c r="B7" s="6">
        <v>0</v>
      </c>
      <c r="C7" s="7">
        <v>0</v>
      </c>
    </row>
    <row r="8" spans="1:4" x14ac:dyDescent="0.25">
      <c r="A8" s="5" t="s">
        <v>8</v>
      </c>
      <c r="B8" s="6">
        <v>0</v>
      </c>
      <c r="C8" s="7">
        <v>0</v>
      </c>
    </row>
    <row r="11" spans="1:4" ht="15.75" x14ac:dyDescent="0.25">
      <c r="A11" s="3" t="s">
        <v>9</v>
      </c>
    </row>
    <row r="12" spans="1:4" x14ac:dyDescent="0.25">
      <c r="A12" s="4" t="s">
        <v>10</v>
      </c>
      <c r="B12" s="4" t="s">
        <v>11</v>
      </c>
      <c r="C12" s="4" t="s">
        <v>12</v>
      </c>
      <c r="D12" s="4" t="s">
        <v>13</v>
      </c>
    </row>
    <row r="13" spans="1:4" x14ac:dyDescent="0.25">
      <c r="A13" s="8" t="s">
        <v>14</v>
      </c>
      <c r="B13" s="9">
        <v>4800</v>
      </c>
      <c r="C13" s="7">
        <v>0</v>
      </c>
      <c r="D13" s="6">
        <v>0</v>
      </c>
    </row>
    <row r="14" spans="1:4" x14ac:dyDescent="0.25">
      <c r="A14" s="10" t="s">
        <v>15</v>
      </c>
      <c r="B14" s="9">
        <v>2500</v>
      </c>
      <c r="C14" s="7">
        <v>0</v>
      </c>
      <c r="D14" s="6">
        <v>0</v>
      </c>
    </row>
    <row r="15" spans="1:4" x14ac:dyDescent="0.25">
      <c r="A15" s="11" t="s">
        <v>16</v>
      </c>
      <c r="B15" s="9">
        <v>2000</v>
      </c>
      <c r="C15" s="7">
        <v>0</v>
      </c>
      <c r="D15" s="6">
        <v>0</v>
      </c>
    </row>
    <row r="16" spans="1:4" x14ac:dyDescent="0.25">
      <c r="A16" s="12" t="s">
        <v>17</v>
      </c>
      <c r="B16" s="9">
        <v>0</v>
      </c>
      <c r="C16" s="7">
        <v>0</v>
      </c>
      <c r="D16" s="6">
        <v>0</v>
      </c>
    </row>
    <row r="17" spans="1:4" x14ac:dyDescent="0.25">
      <c r="A17" s="13" t="s">
        <v>18</v>
      </c>
      <c r="B17" s="9">
        <v>0</v>
      </c>
      <c r="C17" s="7">
        <v>0</v>
      </c>
      <c r="D17" s="6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"/>
  <sheetViews>
    <sheetView workbookViewId="0"/>
  </sheetViews>
  <sheetFormatPr defaultRowHeight="15" x14ac:dyDescent="0.25"/>
  <sheetData>
    <row r="1" spans="1:5" x14ac:dyDescent="0.25">
      <c r="A1" t="s">
        <v>19</v>
      </c>
    </row>
    <row r="2" spans="1:5" x14ac:dyDescent="0.25">
      <c r="A2" s="14" t="s">
        <v>20</v>
      </c>
      <c r="B2" s="14" t="s">
        <v>21</v>
      </c>
      <c r="C2" s="14" t="s">
        <v>3</v>
      </c>
      <c r="D2" s="14" t="s">
        <v>22</v>
      </c>
      <c r="E2" s="14" t="s">
        <v>23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9"/>
  <sheetViews>
    <sheetView workbookViewId="0">
      <selection activeCell="K8" sqref="K8"/>
    </sheetView>
  </sheetViews>
  <sheetFormatPr defaultRowHeight="15" x14ac:dyDescent="0.25"/>
  <cols>
    <col min="1" max="2" width="15" customWidth="1"/>
  </cols>
  <sheetData>
    <row r="1" spans="1:6" ht="18.75" x14ac:dyDescent="0.3">
      <c r="A1" s="1" t="s">
        <v>24</v>
      </c>
    </row>
    <row r="3" spans="1:6" ht="15.75" x14ac:dyDescent="0.25">
      <c r="A3" s="3" t="s">
        <v>25</v>
      </c>
    </row>
    <row r="4" spans="1:6" x14ac:dyDescent="0.25">
      <c r="B4" s="15" t="s">
        <v>14</v>
      </c>
      <c r="C4" s="16" t="s">
        <v>15</v>
      </c>
      <c r="D4" s="17" t="s">
        <v>16</v>
      </c>
      <c r="E4" s="18" t="s">
        <v>17</v>
      </c>
      <c r="F4" s="19" t="s">
        <v>18</v>
      </c>
    </row>
    <row r="5" spans="1:6" ht="45" x14ac:dyDescent="0.25">
      <c r="A5" s="20" t="s">
        <v>14</v>
      </c>
      <c r="B5" s="21" t="s">
        <v>26</v>
      </c>
      <c r="C5" s="22" t="s">
        <v>27</v>
      </c>
      <c r="D5" s="22" t="s">
        <v>27</v>
      </c>
      <c r="E5" s="22" t="s">
        <v>27</v>
      </c>
      <c r="F5" s="22" t="s">
        <v>27</v>
      </c>
    </row>
    <row r="6" spans="1:6" ht="45" x14ac:dyDescent="0.25">
      <c r="A6" s="23" t="s">
        <v>15</v>
      </c>
      <c r="B6" s="22" t="s">
        <v>27</v>
      </c>
      <c r="C6" s="21" t="s">
        <v>26</v>
      </c>
      <c r="D6" s="22" t="s">
        <v>27</v>
      </c>
      <c r="E6" s="22" t="s">
        <v>27</v>
      </c>
      <c r="F6" s="22" t="s">
        <v>27</v>
      </c>
    </row>
    <row r="7" spans="1:6" ht="45" x14ac:dyDescent="0.25">
      <c r="A7" s="24" t="s">
        <v>16</v>
      </c>
      <c r="B7" s="22" t="s">
        <v>27</v>
      </c>
      <c r="C7" s="22" t="s">
        <v>27</v>
      </c>
      <c r="D7" s="21" t="s">
        <v>26</v>
      </c>
      <c r="E7" s="22" t="s">
        <v>27</v>
      </c>
      <c r="F7" s="22" t="s">
        <v>27</v>
      </c>
    </row>
    <row r="8" spans="1:6" ht="45" x14ac:dyDescent="0.25">
      <c r="A8" s="25" t="s">
        <v>17</v>
      </c>
      <c r="B8" s="22" t="s">
        <v>27</v>
      </c>
      <c r="C8" s="22" t="s">
        <v>27</v>
      </c>
      <c r="D8" s="22" t="s">
        <v>27</v>
      </c>
      <c r="E8" s="21" t="s">
        <v>26</v>
      </c>
      <c r="F8" s="22" t="s">
        <v>27</v>
      </c>
    </row>
    <row r="9" spans="1:6" ht="45" x14ac:dyDescent="0.25">
      <c r="A9" s="26" t="s">
        <v>18</v>
      </c>
      <c r="B9" s="22" t="s">
        <v>27</v>
      </c>
      <c r="C9" s="22" t="s">
        <v>27</v>
      </c>
      <c r="D9" s="22" t="s">
        <v>27</v>
      </c>
      <c r="E9" s="22" t="s">
        <v>27</v>
      </c>
      <c r="F9" s="21" t="s">
        <v>26</v>
      </c>
    </row>
    <row r="12" spans="1:6" ht="15.75" x14ac:dyDescent="0.25">
      <c r="A12" s="3" t="s">
        <v>28</v>
      </c>
    </row>
    <row r="13" spans="1:6" x14ac:dyDescent="0.25">
      <c r="A13" s="27" t="s">
        <v>29</v>
      </c>
      <c r="B13" s="6" t="s">
        <v>14</v>
      </c>
    </row>
    <row r="14" spans="1:6" x14ac:dyDescent="0.25">
      <c r="A14" s="27" t="s">
        <v>30</v>
      </c>
      <c r="B14" s="6" t="s">
        <v>16</v>
      </c>
    </row>
    <row r="16" spans="1:6" x14ac:dyDescent="0.25">
      <c r="A16" s="28" t="s">
        <v>3</v>
      </c>
      <c r="B16" s="28" t="s">
        <v>22</v>
      </c>
      <c r="C16" s="28" t="s">
        <v>31</v>
      </c>
      <c r="D16" s="28" t="s">
        <v>32</v>
      </c>
    </row>
    <row r="17" spans="1:3" x14ac:dyDescent="0.25">
      <c r="A17" s="5" t="s">
        <v>6</v>
      </c>
      <c r="B17" s="29">
        <f>SUMIFS(LOGISTICS_DATA!D:D, LOGISTICS_DATA!A:A, $B$13, LOGISTICS_DATA!B:B, $B$14, LOGISTICS_DATA!C:C, "Train")</f>
        <v>0</v>
      </c>
      <c r="C17" s="5">
        <f>SUMIFS(LOGISTICS_DATA!E:E, LOGISTICS_DATA!A:A, $B$13, LOGISTICS_DATA!B:B, $B$14, LOGISTICS_DATA!C:C, "Train")</f>
        <v>0</v>
      </c>
    </row>
    <row r="18" spans="1:3" x14ac:dyDescent="0.25">
      <c r="A18" s="5" t="s">
        <v>7</v>
      </c>
      <c r="B18" s="29">
        <f>SUMIFS(LOGISTICS_DATA!D:D, LOGISTICS_DATA!A:A, $B$13, LOGISTICS_DATA!B:B, $B$14, LOGISTICS_DATA!C:C, "Truck")</f>
        <v>0</v>
      </c>
      <c r="C18" s="5">
        <f>SUMIFS(LOGISTICS_DATA!E:E, LOGISTICS_DATA!A:A, $B$13, LOGISTICS_DATA!B:B, $B$14, LOGISTICS_DATA!C:C, "Truck")</f>
        <v>0</v>
      </c>
    </row>
    <row r="19" spans="1:3" x14ac:dyDescent="0.25">
      <c r="A19" s="5" t="s">
        <v>33</v>
      </c>
      <c r="B19" s="29">
        <f>SUMIFS(LOGISTICS_DATA!D:D, LOGISTICS_DATA!A:A, $B$13, LOGISTICS_DATA!B:B, $B$14, LOGISTICS_DATA!C:C, "Airplane")</f>
        <v>0</v>
      </c>
      <c r="C19" s="5">
        <f>SUMIFS(LOGISTICS_DATA!E:E, LOGISTICS_DATA!A:A, $B$13, LOGISTICS_DATA!B:B, $B$14, LOGISTICS_DATA!C:C, "Airplane")</f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71"/>
  <sheetViews>
    <sheetView workbookViewId="0"/>
  </sheetViews>
  <sheetFormatPr defaultRowHeight="15" x14ac:dyDescent="0.25"/>
  <cols>
    <col min="1" max="1" width="12" customWidth="1"/>
    <col min="2" max="8" width="14" customWidth="1"/>
  </cols>
  <sheetData>
    <row r="1" spans="1:9" ht="18.75" x14ac:dyDescent="0.3">
      <c r="A1" s="1" t="s">
        <v>34</v>
      </c>
    </row>
    <row r="2" spans="1:9" x14ac:dyDescent="0.25">
      <c r="A2" s="2" t="s">
        <v>35</v>
      </c>
    </row>
    <row r="4" spans="1:9" x14ac:dyDescent="0.25">
      <c r="A4" s="45" t="s">
        <v>36</v>
      </c>
      <c r="B4" s="44"/>
      <c r="C4" s="44"/>
      <c r="D4" s="44"/>
      <c r="E4" s="44"/>
      <c r="F4" s="44"/>
      <c r="G4" s="44"/>
      <c r="H4" s="44"/>
      <c r="I4" s="30" t="s">
        <v>37</v>
      </c>
    </row>
    <row r="5" spans="1:9" x14ac:dyDescent="0.25">
      <c r="A5" s="5" t="s">
        <v>38</v>
      </c>
      <c r="B5" s="9">
        <v>3410</v>
      </c>
      <c r="D5" s="5" t="s">
        <v>39</v>
      </c>
      <c r="E5" s="9">
        <v>4800</v>
      </c>
      <c r="G5" s="5" t="s">
        <v>40</v>
      </c>
      <c r="H5" s="6">
        <v>0</v>
      </c>
    </row>
    <row r="7" spans="1:9" x14ac:dyDescent="0.25">
      <c r="A7" s="31" t="s">
        <v>41</v>
      </c>
      <c r="B7" s="31" t="s">
        <v>42</v>
      </c>
      <c r="C7" s="31" t="s">
        <v>43</v>
      </c>
      <c r="D7" s="31" t="s">
        <v>44</v>
      </c>
      <c r="E7" s="31" t="s">
        <v>45</v>
      </c>
      <c r="F7" s="31" t="s">
        <v>46</v>
      </c>
      <c r="G7" s="31" t="s">
        <v>39</v>
      </c>
      <c r="H7" s="31" t="s">
        <v>47</v>
      </c>
    </row>
    <row r="8" spans="1:9" x14ac:dyDescent="0.25">
      <c r="A8" s="5" t="s">
        <v>48</v>
      </c>
      <c r="B8" s="6">
        <v>0</v>
      </c>
      <c r="C8" s="6">
        <v>0</v>
      </c>
      <c r="D8" s="6">
        <v>0</v>
      </c>
      <c r="E8" s="6">
        <v>0</v>
      </c>
      <c r="F8" s="5">
        <f>$B$5+B8+E8-D8-C8</f>
        <v>3410</v>
      </c>
      <c r="G8" s="9">
        <f>$E$5 + ($H$5 * ROUTE_CONFIG!$D$13)</f>
        <v>4800</v>
      </c>
      <c r="H8" s="5" t="str">
        <f t="shared" ref="H8:H15" si="0">IF(F8&lt;0,"🔴 STOCKOUT!",IF(F8&gt;G8,"🟣 OVERFLOW!",IF(F8&gt;G8*0.9,"🟡 WARNING: &gt;90%","✓ OK")))</f>
        <v>✓ OK</v>
      </c>
    </row>
    <row r="9" spans="1:9" x14ac:dyDescent="0.25">
      <c r="A9" s="5" t="s">
        <v>49</v>
      </c>
      <c r="B9" s="6">
        <v>0</v>
      </c>
      <c r="C9" s="6">
        <v>0</v>
      </c>
      <c r="D9" s="6">
        <v>0</v>
      </c>
      <c r="E9" s="6">
        <v>0</v>
      </c>
      <c r="F9" s="5">
        <f t="shared" ref="F9:F15" si="1">F8+B9+E9-D9-C9</f>
        <v>3410</v>
      </c>
      <c r="G9" s="9">
        <f>$E$5 + ($H$5 * ROUTE_CONFIG!$D$13)</f>
        <v>4800</v>
      </c>
      <c r="H9" s="5" t="str">
        <f t="shared" si="0"/>
        <v>✓ OK</v>
      </c>
    </row>
    <row r="10" spans="1:9" x14ac:dyDescent="0.25">
      <c r="A10" s="5" t="s">
        <v>50</v>
      </c>
      <c r="B10" s="6">
        <v>0</v>
      </c>
      <c r="C10" s="6">
        <v>0</v>
      </c>
      <c r="D10" s="6">
        <v>0</v>
      </c>
      <c r="E10" s="6">
        <v>0</v>
      </c>
      <c r="F10" s="5">
        <f t="shared" si="1"/>
        <v>3410</v>
      </c>
      <c r="G10" s="9">
        <f>$E$5 + ($H$5 * ROUTE_CONFIG!$D$13)</f>
        <v>4800</v>
      </c>
      <c r="H10" s="5" t="str">
        <f t="shared" si="0"/>
        <v>✓ OK</v>
      </c>
    </row>
    <row r="11" spans="1:9" x14ac:dyDescent="0.25">
      <c r="A11" s="5" t="s">
        <v>51</v>
      </c>
      <c r="B11" s="6">
        <v>0</v>
      </c>
      <c r="C11" s="6">
        <v>0</v>
      </c>
      <c r="D11" s="6">
        <v>0</v>
      </c>
      <c r="E11" s="6">
        <v>0</v>
      </c>
      <c r="F11" s="5">
        <f t="shared" si="1"/>
        <v>3410</v>
      </c>
      <c r="G11" s="9">
        <f>$E$5 + ($H$5 * ROUTE_CONFIG!$D$13)</f>
        <v>4800</v>
      </c>
      <c r="H11" s="5" t="str">
        <f t="shared" si="0"/>
        <v>✓ OK</v>
      </c>
    </row>
    <row r="12" spans="1:9" x14ac:dyDescent="0.25">
      <c r="A12" s="5" t="s">
        <v>52</v>
      </c>
      <c r="B12" s="6">
        <v>0</v>
      </c>
      <c r="C12" s="6">
        <v>0</v>
      </c>
      <c r="D12" s="6">
        <v>0</v>
      </c>
      <c r="E12" s="6">
        <v>0</v>
      </c>
      <c r="F12" s="5">
        <f t="shared" si="1"/>
        <v>3410</v>
      </c>
      <c r="G12" s="9">
        <f>$E$5 + ($H$5 * ROUTE_CONFIG!$D$13)</f>
        <v>4800</v>
      </c>
      <c r="H12" s="5" t="str">
        <f t="shared" si="0"/>
        <v>✓ OK</v>
      </c>
    </row>
    <row r="13" spans="1:9" x14ac:dyDescent="0.25">
      <c r="A13" s="5" t="s">
        <v>53</v>
      </c>
      <c r="B13" s="6">
        <v>0</v>
      </c>
      <c r="C13" s="6">
        <v>0</v>
      </c>
      <c r="D13" s="6">
        <v>0</v>
      </c>
      <c r="E13" s="6">
        <v>0</v>
      </c>
      <c r="F13" s="5">
        <f t="shared" si="1"/>
        <v>3410</v>
      </c>
      <c r="G13" s="9">
        <f>$E$5 + ($H$5 * ROUTE_CONFIG!$D$13)</f>
        <v>4800</v>
      </c>
      <c r="H13" s="5" t="str">
        <f t="shared" si="0"/>
        <v>✓ OK</v>
      </c>
    </row>
    <row r="14" spans="1:9" x14ac:dyDescent="0.25">
      <c r="A14" s="5" t="s">
        <v>54</v>
      </c>
      <c r="B14" s="6">
        <v>0</v>
      </c>
      <c r="C14" s="6">
        <v>0</v>
      </c>
      <c r="D14" s="6">
        <v>0</v>
      </c>
      <c r="E14" s="6">
        <v>0</v>
      </c>
      <c r="F14" s="5">
        <f t="shared" si="1"/>
        <v>3410</v>
      </c>
      <c r="G14" s="9">
        <f>$E$5 + ($H$5 * ROUTE_CONFIG!$D$13)</f>
        <v>4800</v>
      </c>
      <c r="H14" s="5" t="str">
        <f t="shared" si="0"/>
        <v>✓ OK</v>
      </c>
    </row>
    <row r="15" spans="1:9" x14ac:dyDescent="0.25">
      <c r="A15" s="5" t="s">
        <v>55</v>
      </c>
      <c r="B15" s="6">
        <v>0</v>
      </c>
      <c r="C15" s="6">
        <v>0</v>
      </c>
      <c r="D15" s="6">
        <v>0</v>
      </c>
      <c r="E15" s="6">
        <v>0</v>
      </c>
      <c r="F15" s="5">
        <f t="shared" si="1"/>
        <v>3410</v>
      </c>
      <c r="G15" s="9">
        <f>$E$5 + ($H$5 * ROUTE_CONFIG!$D$13)</f>
        <v>4800</v>
      </c>
      <c r="H15" s="5" t="str">
        <f t="shared" si="0"/>
        <v>✓ OK</v>
      </c>
    </row>
    <row r="18" spans="1:11" x14ac:dyDescent="0.25">
      <c r="A18" s="43" t="s">
        <v>56</v>
      </c>
      <c r="B18" s="44"/>
      <c r="C18" s="44"/>
      <c r="D18" s="44"/>
      <c r="E18" s="44"/>
      <c r="F18" s="44"/>
      <c r="G18" s="44"/>
      <c r="H18" s="44"/>
      <c r="I18" s="30" t="s">
        <v>57</v>
      </c>
    </row>
    <row r="19" spans="1:11" x14ac:dyDescent="0.25">
      <c r="A19" s="5" t="s">
        <v>38</v>
      </c>
      <c r="B19" s="9">
        <v>1886</v>
      </c>
      <c r="D19" s="5" t="s">
        <v>39</v>
      </c>
      <c r="E19" s="9">
        <v>2500</v>
      </c>
      <c r="G19" s="5" t="s">
        <v>40</v>
      </c>
      <c r="H19" s="6">
        <v>0</v>
      </c>
    </row>
    <row r="21" spans="1:11" x14ac:dyDescent="0.25">
      <c r="A21" s="32" t="s">
        <v>41</v>
      </c>
      <c r="B21" s="32" t="s">
        <v>42</v>
      </c>
      <c r="C21" s="32" t="s">
        <v>43</v>
      </c>
      <c r="D21" s="32" t="s">
        <v>44</v>
      </c>
      <c r="E21" s="32" t="s">
        <v>45</v>
      </c>
      <c r="F21" s="32" t="s">
        <v>46</v>
      </c>
      <c r="G21" s="32" t="s">
        <v>39</v>
      </c>
      <c r="H21" s="32" t="s">
        <v>47</v>
      </c>
      <c r="J21" t="s">
        <v>58</v>
      </c>
      <c r="K21" t="s">
        <v>59</v>
      </c>
    </row>
    <row r="22" spans="1:11" x14ac:dyDescent="0.25">
      <c r="A22" s="5" t="s">
        <v>48</v>
      </c>
      <c r="B22" s="6">
        <v>0</v>
      </c>
      <c r="C22" s="6">
        <v>0</v>
      </c>
      <c r="D22" s="6">
        <v>0</v>
      </c>
      <c r="E22" s="6">
        <v>0</v>
      </c>
      <c r="F22" s="5">
        <f>$B$19+B22+E22-D22-C22</f>
        <v>1886</v>
      </c>
      <c r="G22" s="9">
        <f>$E$19 + ($H$19 * ROUTE_CONFIG!$D$14)</f>
        <v>2500</v>
      </c>
      <c r="H22" s="5" t="str">
        <f t="shared" ref="H22:H29" si="2">IF(F22&lt;0,"🔴 STOCKOUT!",IF(F22&gt;G22,"🟣 OVERFLOW!",IF(F22&gt;G22*0.9,"🟡 WARNING: &gt;90%","✓ OK")))</f>
        <v>✓ OK</v>
      </c>
      <c r="J22">
        <f t="shared" ref="J22:J29" si="3">B22+E22</f>
        <v>0</v>
      </c>
      <c r="K22">
        <f t="shared" ref="K22:K29" si="4">C22+D22</f>
        <v>0</v>
      </c>
    </row>
    <row r="23" spans="1:11" x14ac:dyDescent="0.25">
      <c r="A23" s="5" t="s">
        <v>49</v>
      </c>
      <c r="B23" s="6">
        <v>0</v>
      </c>
      <c r="C23" s="6">
        <v>0</v>
      </c>
      <c r="D23" s="6">
        <v>0</v>
      </c>
      <c r="E23" s="6">
        <v>0</v>
      </c>
      <c r="F23" s="5">
        <f t="shared" ref="F23:F29" si="5">F22+B23+E23-D23-C23</f>
        <v>1886</v>
      </c>
      <c r="G23" s="9">
        <f>$E$19 + ($H$19 * ROUTE_CONFIG!$D$14)</f>
        <v>2500</v>
      </c>
      <c r="H23" s="5" t="str">
        <f t="shared" si="2"/>
        <v>✓ OK</v>
      </c>
      <c r="J23">
        <f t="shared" si="3"/>
        <v>0</v>
      </c>
      <c r="K23">
        <f t="shared" si="4"/>
        <v>0</v>
      </c>
    </row>
    <row r="24" spans="1:11" x14ac:dyDescent="0.25">
      <c r="A24" s="5" t="s">
        <v>50</v>
      </c>
      <c r="B24" s="6">
        <v>0</v>
      </c>
      <c r="C24" s="6">
        <v>0</v>
      </c>
      <c r="D24" s="6">
        <v>0</v>
      </c>
      <c r="E24" s="6">
        <v>0</v>
      </c>
      <c r="F24" s="5">
        <f t="shared" si="5"/>
        <v>1886</v>
      </c>
      <c r="G24" s="9">
        <f>$E$19 + ($H$19 * ROUTE_CONFIG!$D$14)</f>
        <v>2500</v>
      </c>
      <c r="H24" s="5" t="str">
        <f t="shared" si="2"/>
        <v>✓ OK</v>
      </c>
      <c r="J24">
        <f t="shared" si="3"/>
        <v>0</v>
      </c>
      <c r="K24">
        <f t="shared" si="4"/>
        <v>0</v>
      </c>
    </row>
    <row r="25" spans="1:11" x14ac:dyDescent="0.25">
      <c r="A25" s="5" t="s">
        <v>51</v>
      </c>
      <c r="B25" s="6">
        <v>0</v>
      </c>
      <c r="C25" s="6">
        <v>0</v>
      </c>
      <c r="D25" s="6">
        <v>0</v>
      </c>
      <c r="E25" s="6">
        <v>0</v>
      </c>
      <c r="F25" s="5">
        <f t="shared" si="5"/>
        <v>1886</v>
      </c>
      <c r="G25" s="9">
        <f>$E$19 + ($H$19 * ROUTE_CONFIG!$D$14)</f>
        <v>2500</v>
      </c>
      <c r="H25" s="5" t="str">
        <f t="shared" si="2"/>
        <v>✓ OK</v>
      </c>
      <c r="J25">
        <f t="shared" si="3"/>
        <v>0</v>
      </c>
      <c r="K25">
        <f t="shared" si="4"/>
        <v>0</v>
      </c>
    </row>
    <row r="26" spans="1:11" x14ac:dyDescent="0.25">
      <c r="A26" s="5" t="s">
        <v>52</v>
      </c>
      <c r="B26" s="6">
        <v>0</v>
      </c>
      <c r="C26" s="6">
        <v>0</v>
      </c>
      <c r="D26" s="6">
        <v>0</v>
      </c>
      <c r="E26" s="6">
        <v>0</v>
      </c>
      <c r="F26" s="5">
        <f t="shared" si="5"/>
        <v>1886</v>
      </c>
      <c r="G26" s="9">
        <f>$E$19 + ($H$19 * ROUTE_CONFIG!$D$14)</f>
        <v>2500</v>
      </c>
      <c r="H26" s="5" t="str">
        <f t="shared" si="2"/>
        <v>✓ OK</v>
      </c>
      <c r="J26">
        <f t="shared" si="3"/>
        <v>0</v>
      </c>
      <c r="K26">
        <f t="shared" si="4"/>
        <v>0</v>
      </c>
    </row>
    <row r="27" spans="1:11" x14ac:dyDescent="0.25">
      <c r="A27" s="5" t="s">
        <v>53</v>
      </c>
      <c r="B27" s="6">
        <v>0</v>
      </c>
      <c r="C27" s="6">
        <v>0</v>
      </c>
      <c r="D27" s="6">
        <v>0</v>
      </c>
      <c r="E27" s="6">
        <v>0</v>
      </c>
      <c r="F27" s="5">
        <f t="shared" si="5"/>
        <v>1886</v>
      </c>
      <c r="G27" s="9">
        <f>$E$19 + ($H$19 * ROUTE_CONFIG!$D$14)</f>
        <v>2500</v>
      </c>
      <c r="H27" s="5" t="str">
        <f t="shared" si="2"/>
        <v>✓ OK</v>
      </c>
      <c r="J27">
        <f t="shared" si="3"/>
        <v>0</v>
      </c>
      <c r="K27">
        <f t="shared" si="4"/>
        <v>0</v>
      </c>
    </row>
    <row r="28" spans="1:11" x14ac:dyDescent="0.25">
      <c r="A28" s="5" t="s">
        <v>54</v>
      </c>
      <c r="B28" s="6">
        <v>0</v>
      </c>
      <c r="C28" s="6">
        <v>0</v>
      </c>
      <c r="D28" s="6">
        <v>0</v>
      </c>
      <c r="E28" s="6">
        <v>0</v>
      </c>
      <c r="F28" s="5">
        <f t="shared" si="5"/>
        <v>1886</v>
      </c>
      <c r="G28" s="9">
        <f>$E$19 + ($H$19 * ROUTE_CONFIG!$D$14)</f>
        <v>2500</v>
      </c>
      <c r="H28" s="5" t="str">
        <f t="shared" si="2"/>
        <v>✓ OK</v>
      </c>
      <c r="J28">
        <f t="shared" si="3"/>
        <v>0</v>
      </c>
      <c r="K28">
        <f t="shared" si="4"/>
        <v>0</v>
      </c>
    </row>
    <row r="29" spans="1:11" x14ac:dyDescent="0.25">
      <c r="A29" s="5" t="s">
        <v>55</v>
      </c>
      <c r="B29" s="6">
        <v>0</v>
      </c>
      <c r="C29" s="6">
        <v>0</v>
      </c>
      <c r="D29" s="6">
        <v>0</v>
      </c>
      <c r="E29" s="6">
        <v>0</v>
      </c>
      <c r="F29" s="5">
        <f t="shared" si="5"/>
        <v>1886</v>
      </c>
      <c r="G29" s="9">
        <f>$E$19 + ($H$19 * ROUTE_CONFIG!$D$14)</f>
        <v>2500</v>
      </c>
      <c r="H29" s="5" t="str">
        <f t="shared" si="2"/>
        <v>✓ OK</v>
      </c>
      <c r="J29">
        <f t="shared" si="3"/>
        <v>0</v>
      </c>
      <c r="K29">
        <f t="shared" si="4"/>
        <v>0</v>
      </c>
    </row>
    <row r="32" spans="1:11" x14ac:dyDescent="0.25">
      <c r="A32" s="48" t="s">
        <v>60</v>
      </c>
      <c r="B32" s="44"/>
      <c r="C32" s="44"/>
      <c r="D32" s="44"/>
      <c r="E32" s="44"/>
      <c r="F32" s="44"/>
      <c r="G32" s="44"/>
      <c r="H32" s="44"/>
      <c r="I32" s="30" t="s">
        <v>61</v>
      </c>
    </row>
    <row r="33" spans="1:11" x14ac:dyDescent="0.25">
      <c r="A33" s="5" t="s">
        <v>38</v>
      </c>
      <c r="B33" s="9">
        <v>1720</v>
      </c>
      <c r="D33" s="5" t="s">
        <v>39</v>
      </c>
      <c r="E33" s="9">
        <v>2000</v>
      </c>
      <c r="G33" s="5" t="s">
        <v>40</v>
      </c>
      <c r="H33" s="6">
        <v>0</v>
      </c>
    </row>
    <row r="35" spans="1:11" x14ac:dyDescent="0.25">
      <c r="A35" s="33" t="s">
        <v>41</v>
      </c>
      <c r="B35" s="33" t="s">
        <v>42</v>
      </c>
      <c r="C35" s="33" t="s">
        <v>43</v>
      </c>
      <c r="D35" s="33" t="s">
        <v>44</v>
      </c>
      <c r="E35" s="33" t="s">
        <v>45</v>
      </c>
      <c r="F35" s="33" t="s">
        <v>46</v>
      </c>
      <c r="G35" s="33" t="s">
        <v>39</v>
      </c>
      <c r="H35" s="33" t="s">
        <v>47</v>
      </c>
      <c r="J35" t="s">
        <v>58</v>
      </c>
      <c r="K35" t="s">
        <v>59</v>
      </c>
    </row>
    <row r="36" spans="1:11" x14ac:dyDescent="0.25">
      <c r="A36" s="5" t="s">
        <v>48</v>
      </c>
      <c r="B36" s="6">
        <v>0</v>
      </c>
      <c r="C36" s="6">
        <v>0</v>
      </c>
      <c r="D36" s="6">
        <v>0</v>
      </c>
      <c r="E36" s="6">
        <v>0</v>
      </c>
      <c r="F36" s="5">
        <f>$B$33+B36+E36-D36-C36</f>
        <v>1720</v>
      </c>
      <c r="G36" s="9">
        <f>$E$33 + ($H$33 * ROUTE_CONFIG!$D$15)</f>
        <v>2000</v>
      </c>
      <c r="H36" s="5" t="str">
        <f t="shared" ref="H36:H43" si="6">IF(F36&lt;0,"🔴 STOCKOUT!",IF(F36&gt;G36,"🟣 OVERFLOW!",IF(F36&gt;G36*0.9,"🟡 WARNING: &gt;90%","✓ OK")))</f>
        <v>✓ OK</v>
      </c>
      <c r="J36">
        <f t="shared" ref="J36:J43" si="7">B36+E36</f>
        <v>0</v>
      </c>
      <c r="K36">
        <f t="shared" ref="K36:K43" si="8">C36+D36</f>
        <v>0</v>
      </c>
    </row>
    <row r="37" spans="1:11" x14ac:dyDescent="0.25">
      <c r="A37" s="5" t="s">
        <v>49</v>
      </c>
      <c r="B37" s="6">
        <v>0</v>
      </c>
      <c r="C37" s="6">
        <v>0</v>
      </c>
      <c r="D37" s="6">
        <v>0</v>
      </c>
      <c r="E37" s="6">
        <v>0</v>
      </c>
      <c r="F37" s="5">
        <f t="shared" ref="F37:F43" si="9">F36+B37+E37-D37-C37</f>
        <v>1720</v>
      </c>
      <c r="G37" s="9">
        <f>$E$33 + ($H$33 * ROUTE_CONFIG!$D$15)</f>
        <v>2000</v>
      </c>
      <c r="H37" s="5" t="str">
        <f t="shared" si="6"/>
        <v>✓ OK</v>
      </c>
      <c r="J37">
        <f t="shared" si="7"/>
        <v>0</v>
      </c>
      <c r="K37">
        <f t="shared" si="8"/>
        <v>0</v>
      </c>
    </row>
    <row r="38" spans="1:11" x14ac:dyDescent="0.25">
      <c r="A38" s="5" t="s">
        <v>50</v>
      </c>
      <c r="B38" s="6">
        <v>0</v>
      </c>
      <c r="C38" s="6">
        <v>0</v>
      </c>
      <c r="D38" s="6">
        <v>0</v>
      </c>
      <c r="E38" s="6">
        <v>0</v>
      </c>
      <c r="F38" s="5">
        <f t="shared" si="9"/>
        <v>1720</v>
      </c>
      <c r="G38" s="9">
        <f>$E$33 + ($H$33 * ROUTE_CONFIG!$D$15)</f>
        <v>2000</v>
      </c>
      <c r="H38" s="5" t="str">
        <f t="shared" si="6"/>
        <v>✓ OK</v>
      </c>
      <c r="J38">
        <f t="shared" si="7"/>
        <v>0</v>
      </c>
      <c r="K38">
        <f t="shared" si="8"/>
        <v>0</v>
      </c>
    </row>
    <row r="39" spans="1:11" x14ac:dyDescent="0.25">
      <c r="A39" s="5" t="s">
        <v>51</v>
      </c>
      <c r="B39" s="6">
        <v>0</v>
      </c>
      <c r="C39" s="6">
        <v>0</v>
      </c>
      <c r="D39" s="6">
        <v>0</v>
      </c>
      <c r="E39" s="6">
        <v>0</v>
      </c>
      <c r="F39" s="5">
        <f t="shared" si="9"/>
        <v>1720</v>
      </c>
      <c r="G39" s="9">
        <f>$E$33 + ($H$33 * ROUTE_CONFIG!$D$15)</f>
        <v>2000</v>
      </c>
      <c r="H39" s="5" t="str">
        <f t="shared" si="6"/>
        <v>✓ OK</v>
      </c>
      <c r="J39">
        <f t="shared" si="7"/>
        <v>0</v>
      </c>
      <c r="K39">
        <f t="shared" si="8"/>
        <v>0</v>
      </c>
    </row>
    <row r="40" spans="1:11" x14ac:dyDescent="0.25">
      <c r="A40" s="5" t="s">
        <v>52</v>
      </c>
      <c r="B40" s="6">
        <v>0</v>
      </c>
      <c r="C40" s="6">
        <v>0</v>
      </c>
      <c r="D40" s="6">
        <v>0</v>
      </c>
      <c r="E40" s="6">
        <v>0</v>
      </c>
      <c r="F40" s="5">
        <f t="shared" si="9"/>
        <v>1720</v>
      </c>
      <c r="G40" s="9">
        <f>$E$33 + ($H$33 * ROUTE_CONFIG!$D$15)</f>
        <v>2000</v>
      </c>
      <c r="H40" s="5" t="str">
        <f t="shared" si="6"/>
        <v>✓ OK</v>
      </c>
      <c r="J40">
        <f t="shared" si="7"/>
        <v>0</v>
      </c>
      <c r="K40">
        <f t="shared" si="8"/>
        <v>0</v>
      </c>
    </row>
    <row r="41" spans="1:11" x14ac:dyDescent="0.25">
      <c r="A41" s="5" t="s">
        <v>53</v>
      </c>
      <c r="B41" s="6">
        <v>0</v>
      </c>
      <c r="C41" s="6">
        <v>0</v>
      </c>
      <c r="D41" s="6">
        <v>0</v>
      </c>
      <c r="E41" s="6">
        <v>0</v>
      </c>
      <c r="F41" s="5">
        <f t="shared" si="9"/>
        <v>1720</v>
      </c>
      <c r="G41" s="9">
        <f>$E$33 + ($H$33 * ROUTE_CONFIG!$D$15)</f>
        <v>2000</v>
      </c>
      <c r="H41" s="5" t="str">
        <f t="shared" si="6"/>
        <v>✓ OK</v>
      </c>
      <c r="J41">
        <f t="shared" si="7"/>
        <v>0</v>
      </c>
      <c r="K41">
        <f t="shared" si="8"/>
        <v>0</v>
      </c>
    </row>
    <row r="42" spans="1:11" x14ac:dyDescent="0.25">
      <c r="A42" s="5" t="s">
        <v>54</v>
      </c>
      <c r="B42" s="6">
        <v>0</v>
      </c>
      <c r="C42" s="6">
        <v>0</v>
      </c>
      <c r="D42" s="6">
        <v>0</v>
      </c>
      <c r="E42" s="6">
        <v>0</v>
      </c>
      <c r="F42" s="5">
        <f t="shared" si="9"/>
        <v>1720</v>
      </c>
      <c r="G42" s="9">
        <f>$E$33 + ($H$33 * ROUTE_CONFIG!$D$15)</f>
        <v>2000</v>
      </c>
      <c r="H42" s="5" t="str">
        <f t="shared" si="6"/>
        <v>✓ OK</v>
      </c>
      <c r="J42">
        <f t="shared" si="7"/>
        <v>0</v>
      </c>
      <c r="K42">
        <f t="shared" si="8"/>
        <v>0</v>
      </c>
    </row>
    <row r="43" spans="1:11" x14ac:dyDescent="0.25">
      <c r="A43" s="5" t="s">
        <v>55</v>
      </c>
      <c r="B43" s="6">
        <v>0</v>
      </c>
      <c r="C43" s="6">
        <v>0</v>
      </c>
      <c r="D43" s="6">
        <v>0</v>
      </c>
      <c r="E43" s="6">
        <v>0</v>
      </c>
      <c r="F43" s="5">
        <f t="shared" si="9"/>
        <v>1720</v>
      </c>
      <c r="G43" s="9">
        <f>$E$33 + ($H$33 * ROUTE_CONFIG!$D$15)</f>
        <v>2000</v>
      </c>
      <c r="H43" s="5" t="str">
        <f t="shared" si="6"/>
        <v>✓ OK</v>
      </c>
      <c r="J43">
        <f t="shared" si="7"/>
        <v>0</v>
      </c>
      <c r="K43">
        <f t="shared" si="8"/>
        <v>0</v>
      </c>
    </row>
    <row r="46" spans="1:11" x14ac:dyDescent="0.25">
      <c r="A46" s="47" t="s">
        <v>62</v>
      </c>
      <c r="B46" s="44"/>
      <c r="C46" s="44"/>
      <c r="D46" s="44"/>
      <c r="E46" s="44"/>
      <c r="F46" s="44"/>
      <c r="G46" s="44"/>
      <c r="H46" s="44"/>
    </row>
    <row r="47" spans="1:11" x14ac:dyDescent="0.25">
      <c r="A47" s="5" t="s">
        <v>38</v>
      </c>
      <c r="B47" s="9">
        <v>0</v>
      </c>
      <c r="D47" s="5" t="s">
        <v>39</v>
      </c>
      <c r="E47" s="9">
        <v>0</v>
      </c>
      <c r="G47" s="5" t="s">
        <v>40</v>
      </c>
      <c r="H47" s="6">
        <v>0</v>
      </c>
    </row>
    <row r="49" spans="1:11" x14ac:dyDescent="0.25">
      <c r="A49" s="34" t="s">
        <v>41</v>
      </c>
      <c r="B49" s="34" t="s">
        <v>42</v>
      </c>
      <c r="C49" s="34" t="s">
        <v>43</v>
      </c>
      <c r="D49" s="34" t="s">
        <v>44</v>
      </c>
      <c r="E49" s="34" t="s">
        <v>45</v>
      </c>
      <c r="F49" s="34" t="s">
        <v>46</v>
      </c>
      <c r="G49" s="34" t="s">
        <v>39</v>
      </c>
      <c r="H49" s="34" t="s">
        <v>47</v>
      </c>
      <c r="J49" t="s">
        <v>58</v>
      </c>
      <c r="K49" t="s">
        <v>59</v>
      </c>
    </row>
    <row r="50" spans="1:11" x14ac:dyDescent="0.25">
      <c r="A50" s="5" t="s">
        <v>48</v>
      </c>
      <c r="B50" s="6">
        <v>0</v>
      </c>
      <c r="C50" s="6">
        <v>0</v>
      </c>
      <c r="D50" s="6">
        <v>0</v>
      </c>
      <c r="E50" s="6">
        <v>0</v>
      </c>
      <c r="F50" s="5">
        <f>$B$47+B50+E50-D50-C50</f>
        <v>0</v>
      </c>
      <c r="G50" s="9">
        <f>$E$47 + ($H$47 * ROUTE_CONFIG!$D$16)</f>
        <v>0</v>
      </c>
      <c r="H50" s="5" t="str">
        <f t="shared" ref="H50:H57" si="10">IF(F50&lt;0,"🔴 STOCKOUT!",IF(F50&gt;G50,"🟣 OVERFLOW!",IF(F50&gt;G50*0.9,"🟡 WARNING: &gt;90%","✓ OK")))</f>
        <v>✓ OK</v>
      </c>
      <c r="J50">
        <f t="shared" ref="J50:J57" si="11">B50+E50</f>
        <v>0</v>
      </c>
      <c r="K50">
        <f t="shared" ref="K50:K57" si="12">C50+D50</f>
        <v>0</v>
      </c>
    </row>
    <row r="51" spans="1:11" x14ac:dyDescent="0.25">
      <c r="A51" s="5" t="s">
        <v>49</v>
      </c>
      <c r="B51" s="6">
        <v>0</v>
      </c>
      <c r="C51" s="6">
        <v>0</v>
      </c>
      <c r="D51" s="6">
        <v>0</v>
      </c>
      <c r="E51" s="6">
        <v>0</v>
      </c>
      <c r="F51" s="5">
        <f t="shared" ref="F51:F57" si="13">F50+B51+E51-D51-C51</f>
        <v>0</v>
      </c>
      <c r="G51" s="9">
        <f>$E$47 + ($H$47 * ROUTE_CONFIG!$D$16)</f>
        <v>0</v>
      </c>
      <c r="H51" s="5" t="str">
        <f t="shared" si="10"/>
        <v>✓ OK</v>
      </c>
      <c r="J51">
        <f t="shared" si="11"/>
        <v>0</v>
      </c>
      <c r="K51">
        <f t="shared" si="12"/>
        <v>0</v>
      </c>
    </row>
    <row r="52" spans="1:11" x14ac:dyDescent="0.25">
      <c r="A52" s="5" t="s">
        <v>50</v>
      </c>
      <c r="B52" s="6">
        <v>0</v>
      </c>
      <c r="C52" s="6">
        <v>0</v>
      </c>
      <c r="D52" s="6">
        <v>0</v>
      </c>
      <c r="E52" s="6">
        <v>0</v>
      </c>
      <c r="F52" s="5">
        <f t="shared" si="13"/>
        <v>0</v>
      </c>
      <c r="G52" s="9">
        <f>$E$47 + ($H$47 * ROUTE_CONFIG!$D$16)</f>
        <v>0</v>
      </c>
      <c r="H52" s="5" t="str">
        <f t="shared" si="10"/>
        <v>✓ OK</v>
      </c>
      <c r="J52">
        <f t="shared" si="11"/>
        <v>0</v>
      </c>
      <c r="K52">
        <f t="shared" si="12"/>
        <v>0</v>
      </c>
    </row>
    <row r="53" spans="1:11" x14ac:dyDescent="0.25">
      <c r="A53" s="5" t="s">
        <v>51</v>
      </c>
      <c r="B53" s="6">
        <v>0</v>
      </c>
      <c r="C53" s="6">
        <v>0</v>
      </c>
      <c r="D53" s="6">
        <v>0</v>
      </c>
      <c r="E53" s="6">
        <v>0</v>
      </c>
      <c r="F53" s="5">
        <f t="shared" si="13"/>
        <v>0</v>
      </c>
      <c r="G53" s="9">
        <f>$E$47 + ($H$47 * ROUTE_CONFIG!$D$16)</f>
        <v>0</v>
      </c>
      <c r="H53" s="5" t="str">
        <f t="shared" si="10"/>
        <v>✓ OK</v>
      </c>
      <c r="J53">
        <f t="shared" si="11"/>
        <v>0</v>
      </c>
      <c r="K53">
        <f t="shared" si="12"/>
        <v>0</v>
      </c>
    </row>
    <row r="54" spans="1:11" x14ac:dyDescent="0.25">
      <c r="A54" s="5" t="s">
        <v>52</v>
      </c>
      <c r="B54" s="6">
        <v>0</v>
      </c>
      <c r="C54" s="6">
        <v>0</v>
      </c>
      <c r="D54" s="6">
        <v>0</v>
      </c>
      <c r="E54" s="6">
        <v>0</v>
      </c>
      <c r="F54" s="5">
        <f t="shared" si="13"/>
        <v>0</v>
      </c>
      <c r="G54" s="9">
        <f>$E$47 + ($H$47 * ROUTE_CONFIG!$D$16)</f>
        <v>0</v>
      </c>
      <c r="H54" s="5" t="str">
        <f t="shared" si="10"/>
        <v>✓ OK</v>
      </c>
      <c r="J54">
        <f t="shared" si="11"/>
        <v>0</v>
      </c>
      <c r="K54">
        <f t="shared" si="12"/>
        <v>0</v>
      </c>
    </row>
    <row r="55" spans="1:11" x14ac:dyDescent="0.25">
      <c r="A55" s="5" t="s">
        <v>53</v>
      </c>
      <c r="B55" s="6">
        <v>0</v>
      </c>
      <c r="C55" s="6">
        <v>0</v>
      </c>
      <c r="D55" s="6">
        <v>0</v>
      </c>
      <c r="E55" s="6">
        <v>0</v>
      </c>
      <c r="F55" s="5">
        <f t="shared" si="13"/>
        <v>0</v>
      </c>
      <c r="G55" s="9">
        <f>$E$47 + ($H$47 * ROUTE_CONFIG!$D$16)</f>
        <v>0</v>
      </c>
      <c r="H55" s="5" t="str">
        <f t="shared" si="10"/>
        <v>✓ OK</v>
      </c>
      <c r="J55">
        <f t="shared" si="11"/>
        <v>0</v>
      </c>
      <c r="K55">
        <f t="shared" si="12"/>
        <v>0</v>
      </c>
    </row>
    <row r="56" spans="1:11" x14ac:dyDescent="0.25">
      <c r="A56" s="5" t="s">
        <v>54</v>
      </c>
      <c r="B56" s="6">
        <v>0</v>
      </c>
      <c r="C56" s="6">
        <v>0</v>
      </c>
      <c r="D56" s="6">
        <v>0</v>
      </c>
      <c r="E56" s="6">
        <v>0</v>
      </c>
      <c r="F56" s="5">
        <f t="shared" si="13"/>
        <v>0</v>
      </c>
      <c r="G56" s="9">
        <f>$E$47 + ($H$47 * ROUTE_CONFIG!$D$16)</f>
        <v>0</v>
      </c>
      <c r="H56" s="5" t="str">
        <f t="shared" si="10"/>
        <v>✓ OK</v>
      </c>
      <c r="J56">
        <f t="shared" si="11"/>
        <v>0</v>
      </c>
      <c r="K56">
        <f t="shared" si="12"/>
        <v>0</v>
      </c>
    </row>
    <row r="57" spans="1:11" x14ac:dyDescent="0.25">
      <c r="A57" s="5" t="s">
        <v>55</v>
      </c>
      <c r="B57" s="6">
        <v>0</v>
      </c>
      <c r="C57" s="6">
        <v>0</v>
      </c>
      <c r="D57" s="6">
        <v>0</v>
      </c>
      <c r="E57" s="6">
        <v>0</v>
      </c>
      <c r="F57" s="5">
        <f t="shared" si="13"/>
        <v>0</v>
      </c>
      <c r="G57" s="9">
        <f>$E$47 + ($H$47 * ROUTE_CONFIG!$D$16)</f>
        <v>0</v>
      </c>
      <c r="H57" s="5" t="str">
        <f t="shared" si="10"/>
        <v>✓ OK</v>
      </c>
      <c r="J57">
        <f t="shared" si="11"/>
        <v>0</v>
      </c>
      <c r="K57">
        <f t="shared" si="12"/>
        <v>0</v>
      </c>
    </row>
    <row r="60" spans="1:11" x14ac:dyDescent="0.25">
      <c r="A60" s="46" t="s">
        <v>63</v>
      </c>
      <c r="B60" s="44"/>
      <c r="C60" s="44"/>
      <c r="D60" s="44"/>
      <c r="E60" s="44"/>
      <c r="F60" s="44"/>
      <c r="G60" s="44"/>
      <c r="H60" s="44"/>
    </row>
    <row r="61" spans="1:11" x14ac:dyDescent="0.25">
      <c r="A61" s="5" t="s">
        <v>38</v>
      </c>
      <c r="B61" s="9">
        <v>0</v>
      </c>
      <c r="D61" s="5" t="s">
        <v>39</v>
      </c>
      <c r="E61" s="9">
        <v>0</v>
      </c>
      <c r="G61" s="5" t="s">
        <v>40</v>
      </c>
      <c r="H61" s="6">
        <v>0</v>
      </c>
    </row>
    <row r="63" spans="1:11" x14ac:dyDescent="0.25">
      <c r="A63" s="35" t="s">
        <v>41</v>
      </c>
      <c r="B63" s="35" t="s">
        <v>42</v>
      </c>
      <c r="C63" s="35" t="s">
        <v>43</v>
      </c>
      <c r="D63" s="35" t="s">
        <v>44</v>
      </c>
      <c r="E63" s="35" t="s">
        <v>45</v>
      </c>
      <c r="F63" s="35" t="s">
        <v>46</v>
      </c>
      <c r="G63" s="35" t="s">
        <v>39</v>
      </c>
      <c r="H63" s="35" t="s">
        <v>47</v>
      </c>
      <c r="J63" t="s">
        <v>58</v>
      </c>
      <c r="K63" t="s">
        <v>59</v>
      </c>
    </row>
    <row r="64" spans="1:11" x14ac:dyDescent="0.25">
      <c r="A64" s="5" t="s">
        <v>48</v>
      </c>
      <c r="B64" s="6">
        <v>0</v>
      </c>
      <c r="C64" s="6">
        <v>0</v>
      </c>
      <c r="D64" s="6">
        <v>0</v>
      </c>
      <c r="E64" s="6">
        <v>0</v>
      </c>
      <c r="F64" s="5">
        <f>$B$61+B64+E64-D64-C64</f>
        <v>0</v>
      </c>
      <c r="G64" s="9">
        <f>$E$61 + ($H$61 * ROUTE_CONFIG!$D$17)</f>
        <v>0</v>
      </c>
      <c r="H64" s="5" t="str">
        <f t="shared" ref="H64:H71" si="14">IF(F64&lt;0,"🔴 STOCKOUT!",IF(F64&gt;G64,"🟣 OVERFLOW!",IF(F64&gt;G64*0.9,"🟡 WARNING: &gt;90%","✓ OK")))</f>
        <v>✓ OK</v>
      </c>
      <c r="J64">
        <f t="shared" ref="J64:J71" si="15">B64+E64</f>
        <v>0</v>
      </c>
      <c r="K64">
        <f t="shared" ref="K64:K71" si="16">C64+D64</f>
        <v>0</v>
      </c>
    </row>
    <row r="65" spans="1:11" x14ac:dyDescent="0.25">
      <c r="A65" s="5" t="s">
        <v>49</v>
      </c>
      <c r="B65" s="6">
        <v>0</v>
      </c>
      <c r="C65" s="6">
        <v>0</v>
      </c>
      <c r="D65" s="6">
        <v>0</v>
      </c>
      <c r="E65" s="6">
        <v>0</v>
      </c>
      <c r="F65" s="5">
        <f t="shared" ref="F65:F71" si="17">F64+B65+E65-D65-C65</f>
        <v>0</v>
      </c>
      <c r="G65" s="9">
        <f>$E$61 + ($H$61 * ROUTE_CONFIG!$D$17)</f>
        <v>0</v>
      </c>
      <c r="H65" s="5" t="str">
        <f t="shared" si="14"/>
        <v>✓ OK</v>
      </c>
      <c r="J65">
        <f t="shared" si="15"/>
        <v>0</v>
      </c>
      <c r="K65">
        <f t="shared" si="16"/>
        <v>0</v>
      </c>
    </row>
    <row r="66" spans="1:11" x14ac:dyDescent="0.25">
      <c r="A66" s="5" t="s">
        <v>50</v>
      </c>
      <c r="B66" s="6">
        <v>0</v>
      </c>
      <c r="C66" s="6">
        <v>0</v>
      </c>
      <c r="D66" s="6">
        <v>0</v>
      </c>
      <c r="E66" s="6">
        <v>0</v>
      </c>
      <c r="F66" s="5">
        <f t="shared" si="17"/>
        <v>0</v>
      </c>
      <c r="G66" s="9">
        <f>$E$61 + ($H$61 * ROUTE_CONFIG!$D$17)</f>
        <v>0</v>
      </c>
      <c r="H66" s="5" t="str">
        <f t="shared" si="14"/>
        <v>✓ OK</v>
      </c>
      <c r="J66">
        <f t="shared" si="15"/>
        <v>0</v>
      </c>
      <c r="K66">
        <f t="shared" si="16"/>
        <v>0</v>
      </c>
    </row>
    <row r="67" spans="1:11" x14ac:dyDescent="0.25">
      <c r="A67" s="5" t="s">
        <v>51</v>
      </c>
      <c r="B67" s="6">
        <v>0</v>
      </c>
      <c r="C67" s="6">
        <v>0</v>
      </c>
      <c r="D67" s="6">
        <v>0</v>
      </c>
      <c r="E67" s="6">
        <v>0</v>
      </c>
      <c r="F67" s="5">
        <f t="shared" si="17"/>
        <v>0</v>
      </c>
      <c r="G67" s="9">
        <f>$E$61 + ($H$61 * ROUTE_CONFIG!$D$17)</f>
        <v>0</v>
      </c>
      <c r="H67" s="5" t="str">
        <f t="shared" si="14"/>
        <v>✓ OK</v>
      </c>
      <c r="J67">
        <f t="shared" si="15"/>
        <v>0</v>
      </c>
      <c r="K67">
        <f t="shared" si="16"/>
        <v>0</v>
      </c>
    </row>
    <row r="68" spans="1:11" x14ac:dyDescent="0.25">
      <c r="A68" s="5" t="s">
        <v>52</v>
      </c>
      <c r="B68" s="6">
        <v>0</v>
      </c>
      <c r="C68" s="6">
        <v>0</v>
      </c>
      <c r="D68" s="6">
        <v>0</v>
      </c>
      <c r="E68" s="6">
        <v>0</v>
      </c>
      <c r="F68" s="5">
        <f t="shared" si="17"/>
        <v>0</v>
      </c>
      <c r="G68" s="9">
        <f>$E$61 + ($H$61 * ROUTE_CONFIG!$D$17)</f>
        <v>0</v>
      </c>
      <c r="H68" s="5" t="str">
        <f t="shared" si="14"/>
        <v>✓ OK</v>
      </c>
      <c r="J68">
        <f t="shared" si="15"/>
        <v>0</v>
      </c>
      <c r="K68">
        <f t="shared" si="16"/>
        <v>0</v>
      </c>
    </row>
    <row r="69" spans="1:11" x14ac:dyDescent="0.25">
      <c r="A69" s="5" t="s">
        <v>53</v>
      </c>
      <c r="B69" s="6">
        <v>0</v>
      </c>
      <c r="C69" s="6">
        <v>0</v>
      </c>
      <c r="D69" s="6">
        <v>0</v>
      </c>
      <c r="E69" s="6">
        <v>0</v>
      </c>
      <c r="F69" s="5">
        <f t="shared" si="17"/>
        <v>0</v>
      </c>
      <c r="G69" s="9">
        <f>$E$61 + ($H$61 * ROUTE_CONFIG!$D$17)</f>
        <v>0</v>
      </c>
      <c r="H69" s="5" t="str">
        <f t="shared" si="14"/>
        <v>✓ OK</v>
      </c>
      <c r="J69">
        <f t="shared" si="15"/>
        <v>0</v>
      </c>
      <c r="K69">
        <f t="shared" si="16"/>
        <v>0</v>
      </c>
    </row>
    <row r="70" spans="1:11" x14ac:dyDescent="0.25">
      <c r="A70" s="5" t="s">
        <v>54</v>
      </c>
      <c r="B70" s="6">
        <v>0</v>
      </c>
      <c r="C70" s="6">
        <v>0</v>
      </c>
      <c r="D70" s="6">
        <v>0</v>
      </c>
      <c r="E70" s="6">
        <v>0</v>
      </c>
      <c r="F70" s="5">
        <f t="shared" si="17"/>
        <v>0</v>
      </c>
      <c r="G70" s="9">
        <f>$E$61 + ($H$61 * ROUTE_CONFIG!$D$17)</f>
        <v>0</v>
      </c>
      <c r="H70" s="5" t="str">
        <f t="shared" si="14"/>
        <v>✓ OK</v>
      </c>
      <c r="J70">
        <f t="shared" si="15"/>
        <v>0</v>
      </c>
      <c r="K70">
        <f t="shared" si="16"/>
        <v>0</v>
      </c>
    </row>
    <row r="71" spans="1:11" x14ac:dyDescent="0.25">
      <c r="A71" s="5" t="s">
        <v>55</v>
      </c>
      <c r="B71" s="6">
        <v>0</v>
      </c>
      <c r="C71" s="6">
        <v>0</v>
      </c>
      <c r="D71" s="6">
        <v>0</v>
      </c>
      <c r="E71" s="6">
        <v>0</v>
      </c>
      <c r="F71" s="5">
        <f t="shared" si="17"/>
        <v>0</v>
      </c>
      <c r="G71" s="9">
        <f>$E$61 + ($H$61 * ROUTE_CONFIG!$D$17)</f>
        <v>0</v>
      </c>
      <c r="H71" s="5" t="str">
        <f t="shared" si="14"/>
        <v>✓ OK</v>
      </c>
      <c r="J71">
        <f t="shared" si="15"/>
        <v>0</v>
      </c>
      <c r="K71">
        <f t="shared" si="16"/>
        <v>0</v>
      </c>
    </row>
  </sheetData>
  <mergeCells count="5">
    <mergeCell ref="A18:H18"/>
    <mergeCell ref="A4:H4"/>
    <mergeCell ref="A60:H60"/>
    <mergeCell ref="A46:H46"/>
    <mergeCell ref="A32:H32"/>
  </mergeCells>
  <conditionalFormatting sqref="F8:F15">
    <cfRule type="expression" dxfId="20" priority="1">
      <formula>F8&lt;0</formula>
    </cfRule>
    <cfRule type="expression" dxfId="19" priority="2">
      <formula>F8&gt;G8</formula>
    </cfRule>
    <cfRule type="expression" dxfId="18" priority="3">
      <formula>AND(F8&gt;G8*0.9, F8&lt;=G8)</formula>
    </cfRule>
    <cfRule type="expression" dxfId="17" priority="4">
      <formula>AND(F8&gt;=0, F8&lt;=G8*0.9)</formula>
    </cfRule>
  </conditionalFormatting>
  <conditionalFormatting sqref="F22:F29">
    <cfRule type="expression" dxfId="16" priority="5">
      <formula>F22&lt;0</formula>
    </cfRule>
    <cfRule type="expression" dxfId="15" priority="6">
      <formula>F22&gt;G22</formula>
    </cfRule>
    <cfRule type="expression" dxfId="14" priority="7">
      <formula>AND(F22&gt;G22*0.9, F22&lt;=G22)</formula>
    </cfRule>
    <cfRule type="expression" dxfId="13" priority="8">
      <formula>AND(F22&gt;=0, F22&lt;=G22*0.9)</formula>
    </cfRule>
  </conditionalFormatting>
  <conditionalFormatting sqref="F36:F43">
    <cfRule type="expression" dxfId="12" priority="9">
      <formula>F36&lt;0</formula>
    </cfRule>
    <cfRule type="expression" dxfId="11" priority="10">
      <formula>F36&gt;G36</formula>
    </cfRule>
    <cfRule type="expression" dxfId="10" priority="11">
      <formula>AND(F36&gt;G36*0.9, F36&lt;=G36)</formula>
    </cfRule>
    <cfRule type="expression" dxfId="9" priority="12">
      <formula>AND(F36&gt;=0, F36&lt;=G36*0.9)</formula>
    </cfRule>
  </conditionalFormatting>
  <conditionalFormatting sqref="F50:F57">
    <cfRule type="expression" dxfId="8" priority="13">
      <formula>F50&lt;0</formula>
    </cfRule>
    <cfRule type="expression" dxfId="7" priority="14">
      <formula>F50&gt;G50</formula>
    </cfRule>
    <cfRule type="expression" dxfId="6" priority="15">
      <formula>AND(F50&gt;G50*0.9, F50&lt;=G50)</formula>
    </cfRule>
    <cfRule type="expression" dxfId="5" priority="16">
      <formula>AND(F50&gt;=0, F50&lt;=G50*0.9)</formula>
    </cfRule>
  </conditionalFormatting>
  <conditionalFormatting sqref="F64:F71">
    <cfRule type="expression" dxfId="4" priority="17">
      <formula>F64&lt;0</formula>
    </cfRule>
    <cfRule type="expression" dxfId="3" priority="18">
      <formula>F64&gt;G64</formula>
    </cfRule>
    <cfRule type="expression" dxfId="2" priority="19">
      <formula>AND(F64&gt;G64*0.9, F64&lt;=G64)</formula>
    </cfRule>
    <cfRule type="expression" dxfId="1" priority="20">
      <formula>AND(F64&gt;=0, F64&lt;=G64*0.9)</formula>
    </cfRule>
  </conditionalFormatting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27"/>
  <sheetViews>
    <sheetView workbookViewId="0"/>
  </sheetViews>
  <sheetFormatPr defaultRowHeight="15" x14ac:dyDescent="0.25"/>
  <cols>
    <col min="1" max="10" width="12" customWidth="1"/>
    <col min="13" max="13" width="25" customWidth="1"/>
    <col min="14" max="14" width="16" customWidth="1"/>
  </cols>
  <sheetData>
    <row r="1" spans="1:14" ht="18.75" x14ac:dyDescent="0.3">
      <c r="A1" s="1" t="s">
        <v>64</v>
      </c>
    </row>
    <row r="2" spans="1:14" x14ac:dyDescent="0.25">
      <c r="A2" s="2" t="s">
        <v>65</v>
      </c>
    </row>
    <row r="4" spans="1:14" ht="15.75" x14ac:dyDescent="0.25">
      <c r="A4" s="3" t="s">
        <v>66</v>
      </c>
      <c r="M4" s="49" t="s">
        <v>67</v>
      </c>
      <c r="N4" s="44"/>
    </row>
    <row r="5" spans="1:14" x14ac:dyDescent="0.25">
      <c r="A5" s="4" t="s">
        <v>68</v>
      </c>
      <c r="B5" s="4" t="s">
        <v>69</v>
      </c>
      <c r="C5" s="4" t="s">
        <v>70</v>
      </c>
      <c r="D5" s="4" t="s">
        <v>71</v>
      </c>
      <c r="E5" s="4" t="s">
        <v>72</v>
      </c>
      <c r="F5" s="4" t="s">
        <v>73</v>
      </c>
      <c r="G5" s="4" t="s">
        <v>74</v>
      </c>
      <c r="H5" s="4" t="s">
        <v>75</v>
      </c>
      <c r="I5" s="4" t="s">
        <v>31</v>
      </c>
      <c r="J5" s="4" t="s">
        <v>76</v>
      </c>
      <c r="M5" s="4" t="s">
        <v>77</v>
      </c>
      <c r="N5" s="4" t="s">
        <v>78</v>
      </c>
    </row>
    <row r="6" spans="1:14" x14ac:dyDescent="0.25">
      <c r="A6" s="5" t="s">
        <v>79</v>
      </c>
      <c r="B6" s="6"/>
      <c r="C6" s="6"/>
      <c r="D6" s="6"/>
      <c r="E6" s="6"/>
      <c r="F6" s="36">
        <f>IF(ISBLANK(D6), 0, VLOOKUP(D6, ROUTE_CONFIG!$A$6:$C$8, 3, FALSE))</f>
        <v>0</v>
      </c>
      <c r="G6" s="36">
        <f t="shared" ref="G6:G25" si="0">IF(ISBLANK(D6), 0, E6*F6)</f>
        <v>0</v>
      </c>
      <c r="H6" s="37"/>
      <c r="I6" s="38">
        <f>IF(ISBLANK(D6), 0, VLOOKUP(D6, ROUTE_CONFIG!$A$6:$C$8, 2, FALSE))</f>
        <v>0</v>
      </c>
      <c r="J6" s="39">
        <f t="shared" ref="J6:J25" si="1">IF(ISBLANK(D6), 0, H6+I6)</f>
        <v>0</v>
      </c>
      <c r="M6" s="9" t="s">
        <v>80</v>
      </c>
      <c r="N6" s="40">
        <v>13.2</v>
      </c>
    </row>
    <row r="7" spans="1:14" x14ac:dyDescent="0.25">
      <c r="A7" s="5" t="s">
        <v>81</v>
      </c>
      <c r="B7" s="6"/>
      <c r="C7" s="6"/>
      <c r="D7" s="6"/>
      <c r="E7" s="6"/>
      <c r="F7" s="36">
        <f>IF(ISBLANK(D7), 0, VLOOKUP(D7, ROUTE_CONFIG!$A$6:$C$8, 3, FALSE))</f>
        <v>0</v>
      </c>
      <c r="G7" s="36">
        <f t="shared" si="0"/>
        <v>0</v>
      </c>
      <c r="H7" s="37"/>
      <c r="I7" s="38">
        <f>IF(ISBLANK(D7), 0, VLOOKUP(D7, ROUTE_CONFIG!$A$6:$C$8, 2, FALSE))</f>
        <v>0</v>
      </c>
      <c r="J7" s="39">
        <f t="shared" si="1"/>
        <v>0</v>
      </c>
      <c r="M7" s="9" t="s">
        <v>82</v>
      </c>
      <c r="N7" s="40">
        <v>16.31992540096979</v>
      </c>
    </row>
    <row r="8" spans="1:14" x14ac:dyDescent="0.25">
      <c r="A8" s="5" t="s">
        <v>83</v>
      </c>
      <c r="B8" s="6"/>
      <c r="C8" s="6"/>
      <c r="D8" s="6"/>
      <c r="E8" s="6"/>
      <c r="F8" s="36">
        <f>IF(ISBLANK(D8), 0, VLOOKUP(D8, ROUTE_CONFIG!$A$6:$C$8, 3, FALSE))</f>
        <v>0</v>
      </c>
      <c r="G8" s="36">
        <f t="shared" si="0"/>
        <v>0</v>
      </c>
      <c r="H8" s="37"/>
      <c r="I8" s="38">
        <f>IF(ISBLANK(D8), 0, VLOOKUP(D8, ROUTE_CONFIG!$A$6:$C$8, 2, FALSE))</f>
        <v>0</v>
      </c>
      <c r="J8" s="39">
        <f t="shared" si="1"/>
        <v>0</v>
      </c>
    </row>
    <row r="9" spans="1:14" x14ac:dyDescent="0.25">
      <c r="A9" s="5" t="s">
        <v>84</v>
      </c>
      <c r="B9" s="6"/>
      <c r="C9" s="6"/>
      <c r="D9" s="6"/>
      <c r="E9" s="6"/>
      <c r="F9" s="36">
        <f>IF(ISBLANK(D9), 0, VLOOKUP(D9, ROUTE_CONFIG!$A$6:$C$8, 3, FALSE))</f>
        <v>0</v>
      </c>
      <c r="G9" s="36">
        <f t="shared" si="0"/>
        <v>0</v>
      </c>
      <c r="H9" s="37"/>
      <c r="I9" s="38">
        <f>IF(ISBLANK(D9), 0, VLOOKUP(D9, ROUTE_CONFIG!$A$6:$C$8, 2, FALSE))</f>
        <v>0</v>
      </c>
      <c r="J9" s="39">
        <f t="shared" si="1"/>
        <v>0</v>
      </c>
    </row>
    <row r="10" spans="1:14" x14ac:dyDescent="0.25">
      <c r="A10" s="5" t="s">
        <v>85</v>
      </c>
      <c r="B10" s="6"/>
      <c r="C10" s="6"/>
      <c r="D10" s="6"/>
      <c r="E10" s="6"/>
      <c r="F10" s="36">
        <f>IF(ISBLANK(D10), 0, VLOOKUP(D10, ROUTE_CONFIG!$A$6:$C$8, 3, FALSE))</f>
        <v>0</v>
      </c>
      <c r="G10" s="36">
        <f t="shared" si="0"/>
        <v>0</v>
      </c>
      <c r="H10" s="37"/>
      <c r="I10" s="38">
        <f>IF(ISBLANK(D10), 0, VLOOKUP(D10, ROUTE_CONFIG!$A$6:$C$8, 2, FALSE))</f>
        <v>0</v>
      </c>
      <c r="J10" s="39">
        <f t="shared" si="1"/>
        <v>0</v>
      </c>
    </row>
    <row r="11" spans="1:14" x14ac:dyDescent="0.25">
      <c r="A11" s="5" t="s">
        <v>86</v>
      </c>
      <c r="B11" s="6"/>
      <c r="C11" s="6"/>
      <c r="D11" s="6"/>
      <c r="E11" s="6"/>
      <c r="F11" s="36">
        <f>IF(ISBLANK(D11), 0, VLOOKUP(D11, ROUTE_CONFIG!$A$6:$C$8, 3, FALSE))</f>
        <v>0</v>
      </c>
      <c r="G11" s="36">
        <f t="shared" si="0"/>
        <v>0</v>
      </c>
      <c r="H11" s="37"/>
      <c r="I11" s="38">
        <f>IF(ISBLANK(D11), 0, VLOOKUP(D11, ROUTE_CONFIG!$A$6:$C$8, 2, FALSE))</f>
        <v>0</v>
      </c>
      <c r="J11" s="39">
        <f t="shared" si="1"/>
        <v>0</v>
      </c>
    </row>
    <row r="12" spans="1:14" x14ac:dyDescent="0.25">
      <c r="A12" s="5" t="s">
        <v>87</v>
      </c>
      <c r="B12" s="6"/>
      <c r="C12" s="6"/>
      <c r="D12" s="6"/>
      <c r="E12" s="6"/>
      <c r="F12" s="36">
        <f>IF(ISBLANK(D12), 0, VLOOKUP(D12, ROUTE_CONFIG!$A$6:$C$8, 3, FALSE))</f>
        <v>0</v>
      </c>
      <c r="G12" s="36">
        <f t="shared" si="0"/>
        <v>0</v>
      </c>
      <c r="H12" s="37"/>
      <c r="I12" s="38">
        <f>IF(ISBLANK(D12), 0, VLOOKUP(D12, ROUTE_CONFIG!$A$6:$C$8, 2, FALSE))</f>
        <v>0</v>
      </c>
      <c r="J12" s="39">
        <f t="shared" si="1"/>
        <v>0</v>
      </c>
    </row>
    <row r="13" spans="1:14" x14ac:dyDescent="0.25">
      <c r="A13" s="5" t="s">
        <v>88</v>
      </c>
      <c r="B13" s="6"/>
      <c r="C13" s="6"/>
      <c r="D13" s="6"/>
      <c r="E13" s="6"/>
      <c r="F13" s="36">
        <f>IF(ISBLANK(D13), 0, VLOOKUP(D13, ROUTE_CONFIG!$A$6:$C$8, 3, FALSE))</f>
        <v>0</v>
      </c>
      <c r="G13" s="36">
        <f t="shared" si="0"/>
        <v>0</v>
      </c>
      <c r="H13" s="37"/>
      <c r="I13" s="38">
        <f>IF(ISBLANK(D13), 0, VLOOKUP(D13, ROUTE_CONFIG!$A$6:$C$8, 2, FALSE))</f>
        <v>0</v>
      </c>
      <c r="J13" s="39">
        <f t="shared" si="1"/>
        <v>0</v>
      </c>
    </row>
    <row r="14" spans="1:14" x14ac:dyDescent="0.25">
      <c r="A14" s="5" t="s">
        <v>89</v>
      </c>
      <c r="B14" s="6"/>
      <c r="C14" s="6"/>
      <c r="D14" s="6"/>
      <c r="E14" s="6"/>
      <c r="F14" s="36">
        <f>IF(ISBLANK(D14), 0, VLOOKUP(D14, ROUTE_CONFIG!$A$6:$C$8, 3, FALSE))</f>
        <v>0</v>
      </c>
      <c r="G14" s="36">
        <f t="shared" si="0"/>
        <v>0</v>
      </c>
      <c r="H14" s="37"/>
      <c r="I14" s="38">
        <f>IF(ISBLANK(D14), 0, VLOOKUP(D14, ROUTE_CONFIG!$A$6:$C$8, 2, FALSE))</f>
        <v>0</v>
      </c>
      <c r="J14" s="39">
        <f t="shared" si="1"/>
        <v>0</v>
      </c>
    </row>
    <row r="15" spans="1:14" x14ac:dyDescent="0.25">
      <c r="A15" s="5" t="s">
        <v>90</v>
      </c>
      <c r="B15" s="6"/>
      <c r="C15" s="6"/>
      <c r="D15" s="6"/>
      <c r="E15" s="6"/>
      <c r="F15" s="36">
        <f>IF(ISBLANK(D15), 0, VLOOKUP(D15, ROUTE_CONFIG!$A$6:$C$8, 3, FALSE))</f>
        <v>0</v>
      </c>
      <c r="G15" s="36">
        <f t="shared" si="0"/>
        <v>0</v>
      </c>
      <c r="H15" s="37"/>
      <c r="I15" s="38">
        <f>IF(ISBLANK(D15), 0, VLOOKUP(D15, ROUTE_CONFIG!$A$6:$C$8, 2, FALSE))</f>
        <v>0</v>
      </c>
      <c r="J15" s="39">
        <f t="shared" si="1"/>
        <v>0</v>
      </c>
    </row>
    <row r="16" spans="1:14" x14ac:dyDescent="0.25">
      <c r="A16" s="5" t="s">
        <v>91</v>
      </c>
      <c r="B16" s="6"/>
      <c r="C16" s="6"/>
      <c r="D16" s="6"/>
      <c r="E16" s="6"/>
      <c r="F16" s="36">
        <f>IF(ISBLANK(D16), 0, VLOOKUP(D16, ROUTE_CONFIG!$A$6:$C$8, 3, FALSE))</f>
        <v>0</v>
      </c>
      <c r="G16" s="36">
        <f t="shared" si="0"/>
        <v>0</v>
      </c>
      <c r="H16" s="37"/>
      <c r="I16" s="38">
        <f>IF(ISBLANK(D16), 0, VLOOKUP(D16, ROUTE_CONFIG!$A$6:$C$8, 2, FALSE))</f>
        <v>0</v>
      </c>
      <c r="J16" s="39">
        <f t="shared" si="1"/>
        <v>0</v>
      </c>
    </row>
    <row r="17" spans="1:10" x14ac:dyDescent="0.25">
      <c r="A17" s="5" t="s">
        <v>92</v>
      </c>
      <c r="B17" s="6"/>
      <c r="C17" s="6"/>
      <c r="D17" s="6"/>
      <c r="E17" s="6"/>
      <c r="F17" s="36">
        <f>IF(ISBLANK(D17), 0, VLOOKUP(D17, ROUTE_CONFIG!$A$6:$C$8, 3, FALSE))</f>
        <v>0</v>
      </c>
      <c r="G17" s="36">
        <f t="shared" si="0"/>
        <v>0</v>
      </c>
      <c r="H17" s="37"/>
      <c r="I17" s="38">
        <f>IF(ISBLANK(D17), 0, VLOOKUP(D17, ROUTE_CONFIG!$A$6:$C$8, 2, FALSE))</f>
        <v>0</v>
      </c>
      <c r="J17" s="39">
        <f t="shared" si="1"/>
        <v>0</v>
      </c>
    </row>
    <row r="18" spans="1:10" x14ac:dyDescent="0.25">
      <c r="A18" s="5" t="s">
        <v>93</v>
      </c>
      <c r="B18" s="6"/>
      <c r="C18" s="6"/>
      <c r="D18" s="6"/>
      <c r="E18" s="6"/>
      <c r="F18" s="36">
        <f>IF(ISBLANK(D18), 0, VLOOKUP(D18, ROUTE_CONFIG!$A$6:$C$8, 3, FALSE))</f>
        <v>0</v>
      </c>
      <c r="G18" s="36">
        <f t="shared" si="0"/>
        <v>0</v>
      </c>
      <c r="H18" s="37"/>
      <c r="I18" s="38">
        <f>IF(ISBLANK(D18), 0, VLOOKUP(D18, ROUTE_CONFIG!$A$6:$C$8, 2, FALSE))</f>
        <v>0</v>
      </c>
      <c r="J18" s="39">
        <f t="shared" si="1"/>
        <v>0</v>
      </c>
    </row>
    <row r="19" spans="1:10" x14ac:dyDescent="0.25">
      <c r="A19" s="5" t="s">
        <v>94</v>
      </c>
      <c r="B19" s="6"/>
      <c r="C19" s="6"/>
      <c r="D19" s="6"/>
      <c r="E19" s="6"/>
      <c r="F19" s="36">
        <f>IF(ISBLANK(D19), 0, VLOOKUP(D19, ROUTE_CONFIG!$A$6:$C$8, 3, FALSE))</f>
        <v>0</v>
      </c>
      <c r="G19" s="36">
        <f t="shared" si="0"/>
        <v>0</v>
      </c>
      <c r="H19" s="37"/>
      <c r="I19" s="38">
        <f>IF(ISBLANK(D19), 0, VLOOKUP(D19, ROUTE_CONFIG!$A$6:$C$8, 2, FALSE))</f>
        <v>0</v>
      </c>
      <c r="J19" s="39">
        <f t="shared" si="1"/>
        <v>0</v>
      </c>
    </row>
    <row r="20" spans="1:10" x14ac:dyDescent="0.25">
      <c r="A20" s="5" t="s">
        <v>95</v>
      </c>
      <c r="B20" s="6"/>
      <c r="C20" s="6"/>
      <c r="D20" s="6"/>
      <c r="E20" s="6"/>
      <c r="F20" s="36">
        <f>IF(ISBLANK(D20), 0, VLOOKUP(D20, ROUTE_CONFIG!$A$6:$C$8, 3, FALSE))</f>
        <v>0</v>
      </c>
      <c r="G20" s="36">
        <f t="shared" si="0"/>
        <v>0</v>
      </c>
      <c r="H20" s="37"/>
      <c r="I20" s="38">
        <f>IF(ISBLANK(D20), 0, VLOOKUP(D20, ROUTE_CONFIG!$A$6:$C$8, 2, FALSE))</f>
        <v>0</v>
      </c>
      <c r="J20" s="39">
        <f t="shared" si="1"/>
        <v>0</v>
      </c>
    </row>
    <row r="21" spans="1:10" x14ac:dyDescent="0.25">
      <c r="A21" s="5" t="s">
        <v>96</v>
      </c>
      <c r="B21" s="6"/>
      <c r="C21" s="6"/>
      <c r="D21" s="6"/>
      <c r="E21" s="6"/>
      <c r="F21" s="36">
        <f>IF(ISBLANK(D21), 0, VLOOKUP(D21, ROUTE_CONFIG!$A$6:$C$8, 3, FALSE))</f>
        <v>0</v>
      </c>
      <c r="G21" s="36">
        <f t="shared" si="0"/>
        <v>0</v>
      </c>
      <c r="H21" s="37"/>
      <c r="I21" s="38">
        <f>IF(ISBLANK(D21), 0, VLOOKUP(D21, ROUTE_CONFIG!$A$6:$C$8, 2, FALSE))</f>
        <v>0</v>
      </c>
      <c r="J21" s="39">
        <f t="shared" si="1"/>
        <v>0</v>
      </c>
    </row>
    <row r="22" spans="1:10" x14ac:dyDescent="0.25">
      <c r="A22" s="5" t="s">
        <v>97</v>
      </c>
      <c r="B22" s="6"/>
      <c r="C22" s="6"/>
      <c r="D22" s="6"/>
      <c r="E22" s="6"/>
      <c r="F22" s="36">
        <f>IF(ISBLANK(D22), 0, VLOOKUP(D22, ROUTE_CONFIG!$A$6:$C$8, 3, FALSE))</f>
        <v>0</v>
      </c>
      <c r="G22" s="36">
        <f t="shared" si="0"/>
        <v>0</v>
      </c>
      <c r="H22" s="37"/>
      <c r="I22" s="38">
        <f>IF(ISBLANK(D22), 0, VLOOKUP(D22, ROUTE_CONFIG!$A$6:$C$8, 2, FALSE))</f>
        <v>0</v>
      </c>
      <c r="J22" s="39">
        <f t="shared" si="1"/>
        <v>0</v>
      </c>
    </row>
    <row r="23" spans="1:10" x14ac:dyDescent="0.25">
      <c r="A23" s="5" t="s">
        <v>98</v>
      </c>
      <c r="B23" s="6"/>
      <c r="C23" s="6"/>
      <c r="D23" s="6"/>
      <c r="E23" s="6"/>
      <c r="F23" s="36">
        <f>IF(ISBLANK(D23), 0, VLOOKUP(D23, ROUTE_CONFIG!$A$6:$C$8, 3, FALSE))</f>
        <v>0</v>
      </c>
      <c r="G23" s="36">
        <f t="shared" si="0"/>
        <v>0</v>
      </c>
      <c r="H23" s="37"/>
      <c r="I23" s="38">
        <f>IF(ISBLANK(D23), 0, VLOOKUP(D23, ROUTE_CONFIG!$A$6:$C$8, 2, FALSE))</f>
        <v>0</v>
      </c>
      <c r="J23" s="39">
        <f t="shared" si="1"/>
        <v>0</v>
      </c>
    </row>
    <row r="24" spans="1:10" x14ac:dyDescent="0.25">
      <c r="A24" s="5" t="s">
        <v>99</v>
      </c>
      <c r="B24" s="6"/>
      <c r="C24" s="6"/>
      <c r="D24" s="6"/>
      <c r="E24" s="6"/>
      <c r="F24" s="36">
        <f>IF(ISBLANK(D24), 0, VLOOKUP(D24, ROUTE_CONFIG!$A$6:$C$8, 3, FALSE))</f>
        <v>0</v>
      </c>
      <c r="G24" s="36">
        <f t="shared" si="0"/>
        <v>0</v>
      </c>
      <c r="H24" s="37"/>
      <c r="I24" s="38">
        <f>IF(ISBLANK(D24), 0, VLOOKUP(D24, ROUTE_CONFIG!$A$6:$C$8, 2, FALSE))</f>
        <v>0</v>
      </c>
      <c r="J24" s="39">
        <f t="shared" si="1"/>
        <v>0</v>
      </c>
    </row>
    <row r="25" spans="1:10" x14ac:dyDescent="0.25">
      <c r="A25" s="5" t="s">
        <v>100</v>
      </c>
      <c r="B25" s="6"/>
      <c r="C25" s="6"/>
      <c r="D25" s="6"/>
      <c r="E25" s="6"/>
      <c r="F25" s="36">
        <f>IF(ISBLANK(D25), 0, VLOOKUP(D25, ROUTE_CONFIG!$A$6:$C$8, 3, FALSE))</f>
        <v>0</v>
      </c>
      <c r="G25" s="36">
        <f t="shared" si="0"/>
        <v>0</v>
      </c>
      <c r="H25" s="37"/>
      <c r="I25" s="38">
        <f>IF(ISBLANK(D25), 0, VLOOKUP(D25, ROUTE_CONFIG!$A$6:$C$8, 2, FALSE))</f>
        <v>0</v>
      </c>
      <c r="J25" s="39">
        <f t="shared" si="1"/>
        <v>0</v>
      </c>
    </row>
    <row r="27" spans="1:10" x14ac:dyDescent="0.25">
      <c r="A27" s="41" t="s">
        <v>101</v>
      </c>
    </row>
  </sheetData>
  <mergeCells count="1">
    <mergeCell ref="M4:N4"/>
  </mergeCells>
  <conditionalFormatting sqref="F6:F25">
    <cfRule type="expression" dxfId="0" priority="1">
      <formula>F6&gt;17.7119552405818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25"/>
  <sheetViews>
    <sheetView workbookViewId="0">
      <selection activeCell="C8" sqref="C8"/>
    </sheetView>
  </sheetViews>
  <sheetFormatPr defaultRowHeight="15" x14ac:dyDescent="0.25"/>
  <cols>
    <col min="3" max="3" width="11.85546875" bestFit="1" customWidth="1"/>
  </cols>
  <sheetData>
    <row r="1" spans="1:12" ht="18.75" x14ac:dyDescent="0.3">
      <c r="A1" s="1" t="s">
        <v>102</v>
      </c>
    </row>
    <row r="2" spans="1:12" x14ac:dyDescent="0.25">
      <c r="A2" s="2" t="s">
        <v>103</v>
      </c>
    </row>
    <row r="4" spans="1:12" ht="15.75" x14ac:dyDescent="0.25">
      <c r="A4" s="3" t="s">
        <v>104</v>
      </c>
    </row>
    <row r="5" spans="1:12" x14ac:dyDescent="0.25">
      <c r="A5" s="4" t="s">
        <v>20</v>
      </c>
      <c r="B5" s="4" t="s">
        <v>21</v>
      </c>
      <c r="C5" s="4" t="s">
        <v>105</v>
      </c>
      <c r="D5" s="4" t="s">
        <v>106</v>
      </c>
      <c r="E5" s="4" t="s">
        <v>107</v>
      </c>
      <c r="F5" s="4" t="s">
        <v>108</v>
      </c>
      <c r="G5" s="4" t="s">
        <v>109</v>
      </c>
      <c r="H5" s="4" t="s">
        <v>110</v>
      </c>
      <c r="I5" s="4" t="s">
        <v>111</v>
      </c>
      <c r="J5" s="4" t="s">
        <v>112</v>
      </c>
      <c r="K5" s="4" t="s">
        <v>113</v>
      </c>
      <c r="L5" s="4" t="s">
        <v>114</v>
      </c>
    </row>
    <row r="6" spans="1:12" x14ac:dyDescent="0.25">
      <c r="A6" s="9">
        <f>SHIPMENT_BUILDER!B6</f>
        <v>0</v>
      </c>
      <c r="B6" s="9">
        <f>SHIPMENT_BUILDER!C6</f>
        <v>0</v>
      </c>
      <c r="C6" s="5" t="s">
        <v>115</v>
      </c>
      <c r="D6" s="9">
        <f>SHIPMENT_BUILDER!E6</f>
        <v>0</v>
      </c>
      <c r="E6" s="42">
        <f>IF(SHIPMENT_BUILDER!$H$6=1, SHIPMENT_BUILDER!$E$6, 0)</f>
        <v>0</v>
      </c>
      <c r="F6" s="42">
        <f>IF(SHIPMENT_BUILDER!$H$6=2, SHIPMENT_BUILDER!$E$6, 0)</f>
        <v>0</v>
      </c>
      <c r="G6" s="42">
        <f>IF(SHIPMENT_BUILDER!$H$6=3, SHIPMENT_BUILDER!$E$6, 0)</f>
        <v>0</v>
      </c>
      <c r="H6" s="42">
        <f>IF(SHIPMENT_BUILDER!$H$6=4, SHIPMENT_BUILDER!$E$6, 0)</f>
        <v>0</v>
      </c>
      <c r="I6" s="42">
        <f>IF(SHIPMENT_BUILDER!$H$6=5, SHIPMENT_BUILDER!$E$6, 0)</f>
        <v>0</v>
      </c>
      <c r="J6" s="42">
        <f>IF(SHIPMENT_BUILDER!$H$6=6, SHIPMENT_BUILDER!$E$6, 0)</f>
        <v>0</v>
      </c>
      <c r="K6" s="42">
        <f>IF(SHIPMENT_BUILDER!$H$6=7, SHIPMENT_BUILDER!$E$6, 0)</f>
        <v>0</v>
      </c>
      <c r="L6" s="42">
        <f>IF(SHIPMENT_BUILDER!$H$6=8, SHIPMENT_BUILDER!$E$6, 0)</f>
        <v>0</v>
      </c>
    </row>
    <row r="7" spans="1:12" x14ac:dyDescent="0.25">
      <c r="A7" s="9">
        <f>SHIPMENT_BUILDER!B7</f>
        <v>0</v>
      </c>
      <c r="B7" s="9">
        <f>SHIPMENT_BUILDER!C7</f>
        <v>0</v>
      </c>
      <c r="C7" s="5" t="s">
        <v>115</v>
      </c>
      <c r="D7" s="9">
        <f>SHIPMENT_BUILDER!E7</f>
        <v>0</v>
      </c>
      <c r="E7" s="42">
        <f>IF(SHIPMENT_BUILDER!$H$7=1, SHIPMENT_BUILDER!$E$7, 0)</f>
        <v>0</v>
      </c>
      <c r="F7" s="42">
        <f>IF(SHIPMENT_BUILDER!$H$7=2, SHIPMENT_BUILDER!$E$7, 0)</f>
        <v>0</v>
      </c>
      <c r="G7" s="42">
        <f>IF(SHIPMENT_BUILDER!$H$7=3, SHIPMENT_BUILDER!$E$7, 0)</f>
        <v>0</v>
      </c>
      <c r="H7" s="42">
        <f>IF(SHIPMENT_BUILDER!$H$7=4, SHIPMENT_BUILDER!$E$7, 0)</f>
        <v>0</v>
      </c>
      <c r="I7" s="42">
        <f>IF(SHIPMENT_BUILDER!$H$7=5, SHIPMENT_BUILDER!$E$7, 0)</f>
        <v>0</v>
      </c>
      <c r="J7" s="42">
        <f>IF(SHIPMENT_BUILDER!$H$7=6, SHIPMENT_BUILDER!$E$7, 0)</f>
        <v>0</v>
      </c>
      <c r="K7" s="42">
        <f>IF(SHIPMENT_BUILDER!$H$7=7, SHIPMENT_BUILDER!$E$7, 0)</f>
        <v>0</v>
      </c>
      <c r="L7" s="42">
        <f>IF(SHIPMENT_BUILDER!$H$7=8, SHIPMENT_BUILDER!$E$7, 0)</f>
        <v>0</v>
      </c>
    </row>
    <row r="8" spans="1:12" x14ac:dyDescent="0.25">
      <c r="A8" s="9">
        <f>SHIPMENT_BUILDER!B8</f>
        <v>0</v>
      </c>
      <c r="B8" s="9">
        <f>SHIPMENT_BUILDER!C8</f>
        <v>0</v>
      </c>
      <c r="C8" s="5" t="s">
        <v>115</v>
      </c>
      <c r="D8" s="9">
        <f>SHIPMENT_BUILDER!E8</f>
        <v>0</v>
      </c>
      <c r="E8" s="42">
        <f>IF(SHIPMENT_BUILDER!$H$8=1, SHIPMENT_BUILDER!$E$8, 0)</f>
        <v>0</v>
      </c>
      <c r="F8" s="42">
        <f>IF(SHIPMENT_BUILDER!$H$8=2, SHIPMENT_BUILDER!$E$8, 0)</f>
        <v>0</v>
      </c>
      <c r="G8" s="42">
        <f>IF(SHIPMENT_BUILDER!$H$8=3, SHIPMENT_BUILDER!$E$8, 0)</f>
        <v>0</v>
      </c>
      <c r="H8" s="42">
        <f>IF(SHIPMENT_BUILDER!$H$8=4, SHIPMENT_BUILDER!$E$8, 0)</f>
        <v>0</v>
      </c>
      <c r="I8" s="42">
        <f>IF(SHIPMENT_BUILDER!$H$8=5, SHIPMENT_BUILDER!$E$8, 0)</f>
        <v>0</v>
      </c>
      <c r="J8" s="42">
        <f>IF(SHIPMENT_BUILDER!$H$8=6, SHIPMENT_BUILDER!$E$8, 0)</f>
        <v>0</v>
      </c>
      <c r="K8" s="42">
        <f>IF(SHIPMENT_BUILDER!$H$8=7, SHIPMENT_BUILDER!$E$8, 0)</f>
        <v>0</v>
      </c>
      <c r="L8" s="42">
        <f>IF(SHIPMENT_BUILDER!$H$8=8, SHIPMENT_BUILDER!$E$8, 0)</f>
        <v>0</v>
      </c>
    </row>
    <row r="9" spans="1:12" x14ac:dyDescent="0.25">
      <c r="A9" s="9">
        <f>SHIPMENT_BUILDER!B9</f>
        <v>0</v>
      </c>
      <c r="B9" s="9">
        <f>SHIPMENT_BUILDER!C9</f>
        <v>0</v>
      </c>
      <c r="C9" s="5" t="s">
        <v>115</v>
      </c>
      <c r="D9" s="9">
        <f>SHIPMENT_BUILDER!E9</f>
        <v>0</v>
      </c>
      <c r="E9" s="42">
        <f>IF(SHIPMENT_BUILDER!$H$9=1, SHIPMENT_BUILDER!$E$9, 0)</f>
        <v>0</v>
      </c>
      <c r="F9" s="42">
        <f>IF(SHIPMENT_BUILDER!$H$9=2, SHIPMENT_BUILDER!$E$9, 0)</f>
        <v>0</v>
      </c>
      <c r="G9" s="42">
        <f>IF(SHIPMENT_BUILDER!$H$9=3, SHIPMENT_BUILDER!$E$9, 0)</f>
        <v>0</v>
      </c>
      <c r="H9" s="42">
        <f>IF(SHIPMENT_BUILDER!$H$9=4, SHIPMENT_BUILDER!$E$9, 0)</f>
        <v>0</v>
      </c>
      <c r="I9" s="42">
        <f>IF(SHIPMENT_BUILDER!$H$9=5, SHIPMENT_BUILDER!$E$9, 0)</f>
        <v>0</v>
      </c>
      <c r="J9" s="42">
        <f>IF(SHIPMENT_BUILDER!$H$9=6, SHIPMENT_BUILDER!$E$9, 0)</f>
        <v>0</v>
      </c>
      <c r="K9" s="42">
        <f>IF(SHIPMENT_BUILDER!$H$9=7, SHIPMENT_BUILDER!$E$9, 0)</f>
        <v>0</v>
      </c>
      <c r="L9" s="42">
        <f>IF(SHIPMENT_BUILDER!$H$9=8, SHIPMENT_BUILDER!$E$9, 0)</f>
        <v>0</v>
      </c>
    </row>
    <row r="10" spans="1:12" x14ac:dyDescent="0.25">
      <c r="A10" s="9">
        <f>SHIPMENT_BUILDER!B10</f>
        <v>0</v>
      </c>
      <c r="B10" s="9">
        <f>SHIPMENT_BUILDER!C10</f>
        <v>0</v>
      </c>
      <c r="C10" s="5" t="s">
        <v>115</v>
      </c>
      <c r="D10" s="9">
        <f>SHIPMENT_BUILDER!E10</f>
        <v>0</v>
      </c>
      <c r="E10" s="42">
        <f>IF(SHIPMENT_BUILDER!$H$10=1, SHIPMENT_BUILDER!$E$10, 0)</f>
        <v>0</v>
      </c>
      <c r="F10" s="42">
        <f>IF(SHIPMENT_BUILDER!$H$10=2, SHIPMENT_BUILDER!$E$10, 0)</f>
        <v>0</v>
      </c>
      <c r="G10" s="42">
        <f>IF(SHIPMENT_BUILDER!$H$10=3, SHIPMENT_BUILDER!$E$10, 0)</f>
        <v>0</v>
      </c>
      <c r="H10" s="42">
        <f>IF(SHIPMENT_BUILDER!$H$10=4, SHIPMENT_BUILDER!$E$10, 0)</f>
        <v>0</v>
      </c>
      <c r="I10" s="42">
        <f>IF(SHIPMENT_BUILDER!$H$10=5, SHIPMENT_BUILDER!$E$10, 0)</f>
        <v>0</v>
      </c>
      <c r="J10" s="42">
        <f>IF(SHIPMENT_BUILDER!$H$10=6, SHIPMENT_BUILDER!$E$10, 0)</f>
        <v>0</v>
      </c>
      <c r="K10" s="42">
        <f>IF(SHIPMENT_BUILDER!$H$10=7, SHIPMENT_BUILDER!$E$10, 0)</f>
        <v>0</v>
      </c>
      <c r="L10" s="42">
        <f>IF(SHIPMENT_BUILDER!$H$10=8, SHIPMENT_BUILDER!$E$10, 0)</f>
        <v>0</v>
      </c>
    </row>
    <row r="11" spans="1:12" x14ac:dyDescent="0.25">
      <c r="A11" s="9">
        <f>SHIPMENT_BUILDER!B11</f>
        <v>0</v>
      </c>
      <c r="B11" s="9">
        <f>SHIPMENT_BUILDER!C11</f>
        <v>0</v>
      </c>
      <c r="C11" s="5" t="s">
        <v>115</v>
      </c>
      <c r="D11" s="9">
        <f>SHIPMENT_BUILDER!E11</f>
        <v>0</v>
      </c>
      <c r="E11" s="42">
        <f>IF(SHIPMENT_BUILDER!$H$11=1, SHIPMENT_BUILDER!$E$11, 0)</f>
        <v>0</v>
      </c>
      <c r="F11" s="42">
        <f>IF(SHIPMENT_BUILDER!$H$11=2, SHIPMENT_BUILDER!$E$11, 0)</f>
        <v>0</v>
      </c>
      <c r="G11" s="42">
        <f>IF(SHIPMENT_BUILDER!$H$11=3, SHIPMENT_BUILDER!$E$11, 0)</f>
        <v>0</v>
      </c>
      <c r="H11" s="42">
        <f>IF(SHIPMENT_BUILDER!$H$11=4, SHIPMENT_BUILDER!$E$11, 0)</f>
        <v>0</v>
      </c>
      <c r="I11" s="42">
        <f>IF(SHIPMENT_BUILDER!$H$11=5, SHIPMENT_BUILDER!$E$11, 0)</f>
        <v>0</v>
      </c>
      <c r="J11" s="42">
        <f>IF(SHIPMENT_BUILDER!$H$11=6, SHIPMENT_BUILDER!$E$11, 0)</f>
        <v>0</v>
      </c>
      <c r="K11" s="42">
        <f>IF(SHIPMENT_BUILDER!$H$11=7, SHIPMENT_BUILDER!$E$11, 0)</f>
        <v>0</v>
      </c>
      <c r="L11" s="42">
        <f>IF(SHIPMENT_BUILDER!$H$11=8, SHIPMENT_BUILDER!$E$11, 0)</f>
        <v>0</v>
      </c>
    </row>
    <row r="12" spans="1:12" x14ac:dyDescent="0.25">
      <c r="A12" s="9">
        <f>SHIPMENT_BUILDER!B12</f>
        <v>0</v>
      </c>
      <c r="B12" s="9">
        <f>SHIPMENT_BUILDER!C12</f>
        <v>0</v>
      </c>
      <c r="C12" s="5" t="s">
        <v>115</v>
      </c>
      <c r="D12" s="9">
        <f>SHIPMENT_BUILDER!E12</f>
        <v>0</v>
      </c>
      <c r="E12" s="42">
        <f>IF(SHIPMENT_BUILDER!$H$12=1, SHIPMENT_BUILDER!$E$12, 0)</f>
        <v>0</v>
      </c>
      <c r="F12" s="42">
        <f>IF(SHIPMENT_BUILDER!$H$12=2, SHIPMENT_BUILDER!$E$12, 0)</f>
        <v>0</v>
      </c>
      <c r="G12" s="42">
        <f>IF(SHIPMENT_BUILDER!$H$12=3, SHIPMENT_BUILDER!$E$12, 0)</f>
        <v>0</v>
      </c>
      <c r="H12" s="42">
        <f>IF(SHIPMENT_BUILDER!$H$12=4, SHIPMENT_BUILDER!$E$12, 0)</f>
        <v>0</v>
      </c>
      <c r="I12" s="42">
        <f>IF(SHIPMENT_BUILDER!$H$12=5, SHIPMENT_BUILDER!$E$12, 0)</f>
        <v>0</v>
      </c>
      <c r="J12" s="42">
        <f>IF(SHIPMENT_BUILDER!$H$12=6, SHIPMENT_BUILDER!$E$12, 0)</f>
        <v>0</v>
      </c>
      <c r="K12" s="42">
        <f>IF(SHIPMENT_BUILDER!$H$12=7, SHIPMENT_BUILDER!$E$12, 0)</f>
        <v>0</v>
      </c>
      <c r="L12" s="42">
        <f>IF(SHIPMENT_BUILDER!$H$12=8, SHIPMENT_BUILDER!$E$12, 0)</f>
        <v>0</v>
      </c>
    </row>
    <row r="13" spans="1:12" x14ac:dyDescent="0.25">
      <c r="A13" s="9">
        <f>SHIPMENT_BUILDER!B13</f>
        <v>0</v>
      </c>
      <c r="B13" s="9">
        <f>SHIPMENT_BUILDER!C13</f>
        <v>0</v>
      </c>
      <c r="C13" s="5" t="s">
        <v>115</v>
      </c>
      <c r="D13" s="9">
        <f>SHIPMENT_BUILDER!E13</f>
        <v>0</v>
      </c>
      <c r="E13" s="42">
        <f>IF(SHIPMENT_BUILDER!$H$13=1, SHIPMENT_BUILDER!$E$13, 0)</f>
        <v>0</v>
      </c>
      <c r="F13" s="42">
        <f>IF(SHIPMENT_BUILDER!$H$13=2, SHIPMENT_BUILDER!$E$13, 0)</f>
        <v>0</v>
      </c>
      <c r="G13" s="42">
        <f>IF(SHIPMENT_BUILDER!$H$13=3, SHIPMENT_BUILDER!$E$13, 0)</f>
        <v>0</v>
      </c>
      <c r="H13" s="42">
        <f>IF(SHIPMENT_BUILDER!$H$13=4, SHIPMENT_BUILDER!$E$13, 0)</f>
        <v>0</v>
      </c>
      <c r="I13" s="42">
        <f>IF(SHIPMENT_BUILDER!$H$13=5, SHIPMENT_BUILDER!$E$13, 0)</f>
        <v>0</v>
      </c>
      <c r="J13" s="42">
        <f>IF(SHIPMENT_BUILDER!$H$13=6, SHIPMENT_BUILDER!$E$13, 0)</f>
        <v>0</v>
      </c>
      <c r="K13" s="42">
        <f>IF(SHIPMENT_BUILDER!$H$13=7, SHIPMENT_BUILDER!$E$13, 0)</f>
        <v>0</v>
      </c>
      <c r="L13" s="42">
        <f>IF(SHIPMENT_BUILDER!$H$13=8, SHIPMENT_BUILDER!$E$13, 0)</f>
        <v>0</v>
      </c>
    </row>
    <row r="14" spans="1:12" x14ac:dyDescent="0.25">
      <c r="A14" s="9">
        <f>SHIPMENT_BUILDER!B14</f>
        <v>0</v>
      </c>
      <c r="B14" s="9">
        <f>SHIPMENT_BUILDER!C14</f>
        <v>0</v>
      </c>
      <c r="C14" s="5" t="s">
        <v>115</v>
      </c>
      <c r="D14" s="9">
        <f>SHIPMENT_BUILDER!E14</f>
        <v>0</v>
      </c>
      <c r="E14" s="42">
        <f>IF(SHIPMENT_BUILDER!$H$14=1, SHIPMENT_BUILDER!$E$14, 0)</f>
        <v>0</v>
      </c>
      <c r="F14" s="42">
        <f>IF(SHIPMENT_BUILDER!$H$14=2, SHIPMENT_BUILDER!$E$14, 0)</f>
        <v>0</v>
      </c>
      <c r="G14" s="42">
        <f>IF(SHIPMENT_BUILDER!$H$14=3, SHIPMENT_BUILDER!$E$14, 0)</f>
        <v>0</v>
      </c>
      <c r="H14" s="42">
        <f>IF(SHIPMENT_BUILDER!$H$14=4, SHIPMENT_BUILDER!$E$14, 0)</f>
        <v>0</v>
      </c>
      <c r="I14" s="42">
        <f>IF(SHIPMENT_BUILDER!$H$14=5, SHIPMENT_BUILDER!$E$14, 0)</f>
        <v>0</v>
      </c>
      <c r="J14" s="42">
        <f>IF(SHIPMENT_BUILDER!$H$14=6, SHIPMENT_BUILDER!$E$14, 0)</f>
        <v>0</v>
      </c>
      <c r="K14" s="42">
        <f>IF(SHIPMENT_BUILDER!$H$14=7, SHIPMENT_BUILDER!$E$14, 0)</f>
        <v>0</v>
      </c>
      <c r="L14" s="42">
        <f>IF(SHIPMENT_BUILDER!$H$14=8, SHIPMENT_BUILDER!$E$14, 0)</f>
        <v>0</v>
      </c>
    </row>
    <row r="15" spans="1:12" x14ac:dyDescent="0.25">
      <c r="A15" s="9">
        <f>SHIPMENT_BUILDER!B15</f>
        <v>0</v>
      </c>
      <c r="B15" s="9">
        <f>SHIPMENT_BUILDER!C15</f>
        <v>0</v>
      </c>
      <c r="C15" s="5" t="s">
        <v>115</v>
      </c>
      <c r="D15" s="9">
        <f>SHIPMENT_BUILDER!E15</f>
        <v>0</v>
      </c>
      <c r="E15" s="42">
        <f>IF(SHIPMENT_BUILDER!$H$15=1, SHIPMENT_BUILDER!$E$15, 0)</f>
        <v>0</v>
      </c>
      <c r="F15" s="42">
        <f>IF(SHIPMENT_BUILDER!$H$15=2, SHIPMENT_BUILDER!$E$15, 0)</f>
        <v>0</v>
      </c>
      <c r="G15" s="42">
        <f>IF(SHIPMENT_BUILDER!$H$15=3, SHIPMENT_BUILDER!$E$15, 0)</f>
        <v>0</v>
      </c>
      <c r="H15" s="42">
        <f>IF(SHIPMENT_BUILDER!$H$15=4, SHIPMENT_BUILDER!$E$15, 0)</f>
        <v>0</v>
      </c>
      <c r="I15" s="42">
        <f>IF(SHIPMENT_BUILDER!$H$15=5, SHIPMENT_BUILDER!$E$15, 0)</f>
        <v>0</v>
      </c>
      <c r="J15" s="42">
        <f>IF(SHIPMENT_BUILDER!$H$15=6, SHIPMENT_BUILDER!$E$15, 0)</f>
        <v>0</v>
      </c>
      <c r="K15" s="42">
        <f>IF(SHIPMENT_BUILDER!$H$15=7, SHIPMENT_BUILDER!$E$15, 0)</f>
        <v>0</v>
      </c>
      <c r="L15" s="42">
        <f>IF(SHIPMENT_BUILDER!$H$15=8, SHIPMENT_BUILDER!$E$15, 0)</f>
        <v>0</v>
      </c>
    </row>
    <row r="16" spans="1:12" x14ac:dyDescent="0.25">
      <c r="A16" s="9">
        <f>SHIPMENT_BUILDER!B16</f>
        <v>0</v>
      </c>
      <c r="B16" s="9">
        <f>SHIPMENT_BUILDER!C16</f>
        <v>0</v>
      </c>
      <c r="C16" s="5" t="s">
        <v>115</v>
      </c>
      <c r="D16" s="9">
        <f>SHIPMENT_BUILDER!E16</f>
        <v>0</v>
      </c>
      <c r="E16" s="42">
        <f>IF(SHIPMENT_BUILDER!$H$16=1, SHIPMENT_BUILDER!$E$16, 0)</f>
        <v>0</v>
      </c>
      <c r="F16" s="42">
        <f>IF(SHIPMENT_BUILDER!$H$16=2, SHIPMENT_BUILDER!$E$16, 0)</f>
        <v>0</v>
      </c>
      <c r="G16" s="42">
        <f>IF(SHIPMENT_BUILDER!$H$16=3, SHIPMENT_BUILDER!$E$16, 0)</f>
        <v>0</v>
      </c>
      <c r="H16" s="42">
        <f>IF(SHIPMENT_BUILDER!$H$16=4, SHIPMENT_BUILDER!$E$16, 0)</f>
        <v>0</v>
      </c>
      <c r="I16" s="42">
        <f>IF(SHIPMENT_BUILDER!$H$16=5, SHIPMENT_BUILDER!$E$16, 0)</f>
        <v>0</v>
      </c>
      <c r="J16" s="42">
        <f>IF(SHIPMENT_BUILDER!$H$16=6, SHIPMENT_BUILDER!$E$16, 0)</f>
        <v>0</v>
      </c>
      <c r="K16" s="42">
        <f>IF(SHIPMENT_BUILDER!$H$16=7, SHIPMENT_BUILDER!$E$16, 0)</f>
        <v>0</v>
      </c>
      <c r="L16" s="42">
        <f>IF(SHIPMENT_BUILDER!$H$16=8, SHIPMENT_BUILDER!$E$16, 0)</f>
        <v>0</v>
      </c>
    </row>
    <row r="17" spans="1:12" x14ac:dyDescent="0.25">
      <c r="A17" s="9">
        <f>SHIPMENT_BUILDER!B17</f>
        <v>0</v>
      </c>
      <c r="B17" s="9">
        <f>SHIPMENT_BUILDER!C17</f>
        <v>0</v>
      </c>
      <c r="C17" s="5" t="s">
        <v>115</v>
      </c>
      <c r="D17" s="9">
        <f>SHIPMENT_BUILDER!E17</f>
        <v>0</v>
      </c>
      <c r="E17" s="42">
        <f>IF(SHIPMENT_BUILDER!$H$17=1, SHIPMENT_BUILDER!$E$17, 0)</f>
        <v>0</v>
      </c>
      <c r="F17" s="42">
        <f>IF(SHIPMENT_BUILDER!$H$17=2, SHIPMENT_BUILDER!$E$17, 0)</f>
        <v>0</v>
      </c>
      <c r="G17" s="42">
        <f>IF(SHIPMENT_BUILDER!$H$17=3, SHIPMENT_BUILDER!$E$17, 0)</f>
        <v>0</v>
      </c>
      <c r="H17" s="42">
        <f>IF(SHIPMENT_BUILDER!$H$17=4, SHIPMENT_BUILDER!$E$17, 0)</f>
        <v>0</v>
      </c>
      <c r="I17" s="42">
        <f>IF(SHIPMENT_BUILDER!$H$17=5, SHIPMENT_BUILDER!$E$17, 0)</f>
        <v>0</v>
      </c>
      <c r="J17" s="42">
        <f>IF(SHIPMENT_BUILDER!$H$17=6, SHIPMENT_BUILDER!$E$17, 0)</f>
        <v>0</v>
      </c>
      <c r="K17" s="42">
        <f>IF(SHIPMENT_BUILDER!$H$17=7, SHIPMENT_BUILDER!$E$17, 0)</f>
        <v>0</v>
      </c>
      <c r="L17" s="42">
        <f>IF(SHIPMENT_BUILDER!$H$17=8, SHIPMENT_BUILDER!$E$17, 0)</f>
        <v>0</v>
      </c>
    </row>
    <row r="18" spans="1:12" x14ac:dyDescent="0.25">
      <c r="A18" s="9">
        <f>SHIPMENT_BUILDER!B18</f>
        <v>0</v>
      </c>
      <c r="B18" s="9">
        <f>SHIPMENT_BUILDER!C18</f>
        <v>0</v>
      </c>
      <c r="C18" s="5" t="s">
        <v>115</v>
      </c>
      <c r="D18" s="9">
        <f>SHIPMENT_BUILDER!E18</f>
        <v>0</v>
      </c>
      <c r="E18" s="42">
        <f>IF(SHIPMENT_BUILDER!$H$18=1, SHIPMENT_BUILDER!$E$18, 0)</f>
        <v>0</v>
      </c>
      <c r="F18" s="42">
        <f>IF(SHIPMENT_BUILDER!$H$18=2, SHIPMENT_BUILDER!$E$18, 0)</f>
        <v>0</v>
      </c>
      <c r="G18" s="42">
        <f>IF(SHIPMENT_BUILDER!$H$18=3, SHIPMENT_BUILDER!$E$18, 0)</f>
        <v>0</v>
      </c>
      <c r="H18" s="42">
        <f>IF(SHIPMENT_BUILDER!$H$18=4, SHIPMENT_BUILDER!$E$18, 0)</f>
        <v>0</v>
      </c>
      <c r="I18" s="42">
        <f>IF(SHIPMENT_BUILDER!$H$18=5, SHIPMENT_BUILDER!$E$18, 0)</f>
        <v>0</v>
      </c>
      <c r="J18" s="42">
        <f>IF(SHIPMENT_BUILDER!$H$18=6, SHIPMENT_BUILDER!$E$18, 0)</f>
        <v>0</v>
      </c>
      <c r="K18" s="42">
        <f>IF(SHIPMENT_BUILDER!$H$18=7, SHIPMENT_BUILDER!$E$18, 0)</f>
        <v>0</v>
      </c>
      <c r="L18" s="42">
        <f>IF(SHIPMENT_BUILDER!$H$18=8, SHIPMENT_BUILDER!$E$18, 0)</f>
        <v>0</v>
      </c>
    </row>
    <row r="19" spans="1:12" x14ac:dyDescent="0.25">
      <c r="A19" s="9">
        <f>SHIPMENT_BUILDER!B19</f>
        <v>0</v>
      </c>
      <c r="B19" s="9">
        <f>SHIPMENT_BUILDER!C19</f>
        <v>0</v>
      </c>
      <c r="C19" s="5" t="s">
        <v>115</v>
      </c>
      <c r="D19" s="9">
        <f>SHIPMENT_BUILDER!E19</f>
        <v>0</v>
      </c>
      <c r="E19" s="42">
        <f>IF(SHIPMENT_BUILDER!$H$19=1, SHIPMENT_BUILDER!$E$19, 0)</f>
        <v>0</v>
      </c>
      <c r="F19" s="42">
        <f>IF(SHIPMENT_BUILDER!$H$19=2, SHIPMENT_BUILDER!$E$19, 0)</f>
        <v>0</v>
      </c>
      <c r="G19" s="42">
        <f>IF(SHIPMENT_BUILDER!$H$19=3, SHIPMENT_BUILDER!$E$19, 0)</f>
        <v>0</v>
      </c>
      <c r="H19" s="42">
        <f>IF(SHIPMENT_BUILDER!$H$19=4, SHIPMENT_BUILDER!$E$19, 0)</f>
        <v>0</v>
      </c>
      <c r="I19" s="42">
        <f>IF(SHIPMENT_BUILDER!$H$19=5, SHIPMENT_BUILDER!$E$19, 0)</f>
        <v>0</v>
      </c>
      <c r="J19" s="42">
        <f>IF(SHIPMENT_BUILDER!$H$19=6, SHIPMENT_BUILDER!$E$19, 0)</f>
        <v>0</v>
      </c>
      <c r="K19" s="42">
        <f>IF(SHIPMENT_BUILDER!$H$19=7, SHIPMENT_BUILDER!$E$19, 0)</f>
        <v>0</v>
      </c>
      <c r="L19" s="42">
        <f>IF(SHIPMENT_BUILDER!$H$19=8, SHIPMENT_BUILDER!$E$19, 0)</f>
        <v>0</v>
      </c>
    </row>
    <row r="20" spans="1:12" x14ac:dyDescent="0.25">
      <c r="A20" s="9">
        <f>SHIPMENT_BUILDER!B20</f>
        <v>0</v>
      </c>
      <c r="B20" s="9">
        <f>SHIPMENT_BUILDER!C20</f>
        <v>0</v>
      </c>
      <c r="C20" s="5" t="s">
        <v>115</v>
      </c>
      <c r="D20" s="9">
        <f>SHIPMENT_BUILDER!E20</f>
        <v>0</v>
      </c>
      <c r="E20" s="42">
        <f>IF(SHIPMENT_BUILDER!$H$20=1, SHIPMENT_BUILDER!$E$20, 0)</f>
        <v>0</v>
      </c>
      <c r="F20" s="42">
        <f>IF(SHIPMENT_BUILDER!$H$20=2, SHIPMENT_BUILDER!$E$20, 0)</f>
        <v>0</v>
      </c>
      <c r="G20" s="42">
        <f>IF(SHIPMENT_BUILDER!$H$20=3, SHIPMENT_BUILDER!$E$20, 0)</f>
        <v>0</v>
      </c>
      <c r="H20" s="42">
        <f>IF(SHIPMENT_BUILDER!$H$20=4, SHIPMENT_BUILDER!$E$20, 0)</f>
        <v>0</v>
      </c>
      <c r="I20" s="42">
        <f>IF(SHIPMENT_BUILDER!$H$20=5, SHIPMENT_BUILDER!$E$20, 0)</f>
        <v>0</v>
      </c>
      <c r="J20" s="42">
        <f>IF(SHIPMENT_BUILDER!$H$20=6, SHIPMENT_BUILDER!$E$20, 0)</f>
        <v>0</v>
      </c>
      <c r="K20" s="42">
        <f>IF(SHIPMENT_BUILDER!$H$20=7, SHIPMENT_BUILDER!$E$20, 0)</f>
        <v>0</v>
      </c>
      <c r="L20" s="42">
        <f>IF(SHIPMENT_BUILDER!$H$20=8, SHIPMENT_BUILDER!$E$20, 0)</f>
        <v>0</v>
      </c>
    </row>
    <row r="21" spans="1:12" x14ac:dyDescent="0.25">
      <c r="A21" s="9">
        <f>SHIPMENT_BUILDER!B21</f>
        <v>0</v>
      </c>
      <c r="B21" s="9">
        <f>SHIPMENT_BUILDER!C21</f>
        <v>0</v>
      </c>
      <c r="C21" s="5" t="s">
        <v>115</v>
      </c>
      <c r="D21" s="9">
        <f>SHIPMENT_BUILDER!E21</f>
        <v>0</v>
      </c>
      <c r="E21" s="42">
        <f>IF(SHIPMENT_BUILDER!$H$21=1, SHIPMENT_BUILDER!$E$21, 0)</f>
        <v>0</v>
      </c>
      <c r="F21" s="42">
        <f>IF(SHIPMENT_BUILDER!$H$21=2, SHIPMENT_BUILDER!$E$21, 0)</f>
        <v>0</v>
      </c>
      <c r="G21" s="42">
        <f>IF(SHIPMENT_BUILDER!$H$21=3, SHIPMENT_BUILDER!$E$21, 0)</f>
        <v>0</v>
      </c>
      <c r="H21" s="42">
        <f>IF(SHIPMENT_BUILDER!$H$21=4, SHIPMENT_BUILDER!$E$21, 0)</f>
        <v>0</v>
      </c>
      <c r="I21" s="42">
        <f>IF(SHIPMENT_BUILDER!$H$21=5, SHIPMENT_BUILDER!$E$21, 0)</f>
        <v>0</v>
      </c>
      <c r="J21" s="42">
        <f>IF(SHIPMENT_BUILDER!$H$21=6, SHIPMENT_BUILDER!$E$21, 0)</f>
        <v>0</v>
      </c>
      <c r="K21" s="42">
        <f>IF(SHIPMENT_BUILDER!$H$21=7, SHIPMENT_BUILDER!$E$21, 0)</f>
        <v>0</v>
      </c>
      <c r="L21" s="42">
        <f>IF(SHIPMENT_BUILDER!$H$21=8, SHIPMENT_BUILDER!$E$21, 0)</f>
        <v>0</v>
      </c>
    </row>
    <row r="22" spans="1:12" x14ac:dyDescent="0.25">
      <c r="A22" s="9">
        <f>SHIPMENT_BUILDER!B22</f>
        <v>0</v>
      </c>
      <c r="B22" s="9">
        <f>SHIPMENT_BUILDER!C22</f>
        <v>0</v>
      </c>
      <c r="C22" s="5" t="s">
        <v>115</v>
      </c>
      <c r="D22" s="9">
        <f>SHIPMENT_BUILDER!E22</f>
        <v>0</v>
      </c>
      <c r="E22" s="42">
        <f>IF(SHIPMENT_BUILDER!$H$22=1, SHIPMENT_BUILDER!$E$22, 0)</f>
        <v>0</v>
      </c>
      <c r="F22" s="42">
        <f>IF(SHIPMENT_BUILDER!$H$22=2, SHIPMENT_BUILDER!$E$22, 0)</f>
        <v>0</v>
      </c>
      <c r="G22" s="42">
        <f>IF(SHIPMENT_BUILDER!$H$22=3, SHIPMENT_BUILDER!$E$22, 0)</f>
        <v>0</v>
      </c>
      <c r="H22" s="42">
        <f>IF(SHIPMENT_BUILDER!$H$22=4, SHIPMENT_BUILDER!$E$22, 0)</f>
        <v>0</v>
      </c>
      <c r="I22" s="42">
        <f>IF(SHIPMENT_BUILDER!$H$22=5, SHIPMENT_BUILDER!$E$22, 0)</f>
        <v>0</v>
      </c>
      <c r="J22" s="42">
        <f>IF(SHIPMENT_BUILDER!$H$22=6, SHIPMENT_BUILDER!$E$22, 0)</f>
        <v>0</v>
      </c>
      <c r="K22" s="42">
        <f>IF(SHIPMENT_BUILDER!$H$22=7, SHIPMENT_BUILDER!$E$22, 0)</f>
        <v>0</v>
      </c>
      <c r="L22" s="42">
        <f>IF(SHIPMENT_BUILDER!$H$22=8, SHIPMENT_BUILDER!$E$22, 0)</f>
        <v>0</v>
      </c>
    </row>
    <row r="23" spans="1:12" x14ac:dyDescent="0.25">
      <c r="A23" s="9">
        <f>SHIPMENT_BUILDER!B23</f>
        <v>0</v>
      </c>
      <c r="B23" s="9">
        <f>SHIPMENT_BUILDER!C23</f>
        <v>0</v>
      </c>
      <c r="C23" s="5" t="s">
        <v>115</v>
      </c>
      <c r="D23" s="9">
        <f>SHIPMENT_BUILDER!E23</f>
        <v>0</v>
      </c>
      <c r="E23" s="42">
        <f>IF(SHIPMENT_BUILDER!$H$23=1, SHIPMENT_BUILDER!$E$23, 0)</f>
        <v>0</v>
      </c>
      <c r="F23" s="42">
        <f>IF(SHIPMENT_BUILDER!$H$23=2, SHIPMENT_BUILDER!$E$23, 0)</f>
        <v>0</v>
      </c>
      <c r="G23" s="42">
        <f>IF(SHIPMENT_BUILDER!$H$23=3, SHIPMENT_BUILDER!$E$23, 0)</f>
        <v>0</v>
      </c>
      <c r="H23" s="42">
        <f>IF(SHIPMENT_BUILDER!$H$23=4, SHIPMENT_BUILDER!$E$23, 0)</f>
        <v>0</v>
      </c>
      <c r="I23" s="42">
        <f>IF(SHIPMENT_BUILDER!$H$23=5, SHIPMENT_BUILDER!$E$23, 0)</f>
        <v>0</v>
      </c>
      <c r="J23" s="42">
        <f>IF(SHIPMENT_BUILDER!$H$23=6, SHIPMENT_BUILDER!$E$23, 0)</f>
        <v>0</v>
      </c>
      <c r="K23" s="42">
        <f>IF(SHIPMENT_BUILDER!$H$23=7, SHIPMENT_BUILDER!$E$23, 0)</f>
        <v>0</v>
      </c>
      <c r="L23" s="42">
        <f>IF(SHIPMENT_BUILDER!$H$23=8, SHIPMENT_BUILDER!$E$23, 0)</f>
        <v>0</v>
      </c>
    </row>
    <row r="24" spans="1:12" x14ac:dyDescent="0.25">
      <c r="A24" s="9">
        <f>SHIPMENT_BUILDER!B24</f>
        <v>0</v>
      </c>
      <c r="B24" s="9">
        <f>SHIPMENT_BUILDER!C24</f>
        <v>0</v>
      </c>
      <c r="C24" s="5" t="s">
        <v>115</v>
      </c>
      <c r="D24" s="9">
        <f>SHIPMENT_BUILDER!E24</f>
        <v>0</v>
      </c>
      <c r="E24" s="42">
        <f>IF(SHIPMENT_BUILDER!$H$24=1, SHIPMENT_BUILDER!$E$24, 0)</f>
        <v>0</v>
      </c>
      <c r="F24" s="42">
        <f>IF(SHIPMENT_BUILDER!$H$24=2, SHIPMENT_BUILDER!$E$24, 0)</f>
        <v>0</v>
      </c>
      <c r="G24" s="42">
        <f>IF(SHIPMENT_BUILDER!$H$24=3, SHIPMENT_BUILDER!$E$24, 0)</f>
        <v>0</v>
      </c>
      <c r="H24" s="42">
        <f>IF(SHIPMENT_BUILDER!$H$24=4, SHIPMENT_BUILDER!$E$24, 0)</f>
        <v>0</v>
      </c>
      <c r="I24" s="42">
        <f>IF(SHIPMENT_BUILDER!$H$24=5, SHIPMENT_BUILDER!$E$24, 0)</f>
        <v>0</v>
      </c>
      <c r="J24" s="42">
        <f>IF(SHIPMENT_BUILDER!$H$24=6, SHIPMENT_BUILDER!$E$24, 0)</f>
        <v>0</v>
      </c>
      <c r="K24" s="42">
        <f>IF(SHIPMENT_BUILDER!$H$24=7, SHIPMENT_BUILDER!$E$24, 0)</f>
        <v>0</v>
      </c>
      <c r="L24" s="42">
        <f>IF(SHIPMENT_BUILDER!$H$24=8, SHIPMENT_BUILDER!$E$24, 0)</f>
        <v>0</v>
      </c>
    </row>
    <row r="25" spans="1:12" x14ac:dyDescent="0.25">
      <c r="A25" s="9">
        <f>SHIPMENT_BUILDER!B25</f>
        <v>0</v>
      </c>
      <c r="B25" s="9">
        <f>SHIPMENT_BUILDER!C25</f>
        <v>0</v>
      </c>
      <c r="C25" s="5" t="s">
        <v>115</v>
      </c>
      <c r="D25" s="9">
        <f>SHIPMENT_BUILDER!E25</f>
        <v>0</v>
      </c>
      <c r="E25" s="42">
        <f>IF(SHIPMENT_BUILDER!$H$25=1, SHIPMENT_BUILDER!$E$25, 0)</f>
        <v>0</v>
      </c>
      <c r="F25" s="42">
        <f>IF(SHIPMENT_BUILDER!$H$25=2, SHIPMENT_BUILDER!$E$25, 0)</f>
        <v>0</v>
      </c>
      <c r="G25" s="42">
        <f>IF(SHIPMENT_BUILDER!$H$25=3, SHIPMENT_BUILDER!$E$25, 0)</f>
        <v>0</v>
      </c>
      <c r="H25" s="42">
        <f>IF(SHIPMENT_BUILDER!$H$25=4, SHIPMENT_BUILDER!$E$25, 0)</f>
        <v>0</v>
      </c>
      <c r="I25" s="42">
        <f>IF(SHIPMENT_BUILDER!$H$25=5, SHIPMENT_BUILDER!$E$25, 0)</f>
        <v>0</v>
      </c>
      <c r="J25" s="42">
        <f>IF(SHIPMENT_BUILDER!$H$25=6, SHIPMENT_BUILDER!$E$25, 0)</f>
        <v>0</v>
      </c>
      <c r="K25" s="42">
        <f>IF(SHIPMENT_BUILDER!$H$25=7, SHIPMENT_BUILDER!$E$25, 0)</f>
        <v>0</v>
      </c>
      <c r="L25" s="42">
        <f>IF(SHIPMENT_BUILDER!$H$25=8, SHIPMENT_BUILDER!$E$25, 0)</f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ROUTE_CONFIG</vt:lpstr>
      <vt:lpstr>LOGISTICS_DATA</vt:lpstr>
      <vt:lpstr>ROUTE_OPTIMIZER</vt:lpstr>
      <vt:lpstr>INVENTORY_TETRIS</vt:lpstr>
      <vt:lpstr>SHIPMENT_BUILDER</vt:lpstr>
      <vt:lpstr>UPLOAD_READY_LOGISTICS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Lichtenstein, Harel</cp:lastModifiedBy>
  <dcterms:created xsi:type="dcterms:W3CDTF">2026-01-01T17:19:15Z</dcterms:created>
  <dcterms:modified xsi:type="dcterms:W3CDTF">2026-01-04T14:24:17Z</dcterms:modified>
</cp:coreProperties>
</file>