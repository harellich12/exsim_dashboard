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LOGISTICS_DATA" sheetId="2" state="visible" r:id="rId2"/>
    <sheet name="ROUTE_OPTIMIZER" sheetId="3" state="visible" r:id="rId3"/>
    <sheet name="INVENTORY_TETRIS" sheetId="4" state="visible" r:id="rId4"/>
    <sheet name="SHIPMENT_BUILDER" sheetId="5" state="visible" r:id="rId5"/>
    <sheet name="UPLOAD_READY_LOGIST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</font>
    <font>
      <b val="1"/>
      <color rgb="00FFFFFF"/>
      <sz val="11"/>
    </font>
    <font>
      <b val="1"/>
      <color rgb="00C00000"/>
    </font>
    <font>
      <i val="1"/>
      <color rgb="009C0006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EEEEE"/>
        <bgColor rgb="00EEEEE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4" fillId="0" borderId="0" pivotButton="0" quotePrefix="0" xfId="0"/>
    <xf numFmtId="0" fontId="4" fillId="4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4" borderId="0" pivotButton="0" quotePrefix="0" xfId="0"/>
    <xf numFmtId="0" fontId="0" fillId="1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0" fillId="0" borderId="1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4" fillId="4" borderId="1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1" borderId="1" pivotButton="0" quotePrefix="0" xfId="0"/>
    <xf numFmtId="0" fontId="0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165" fontId="0" fillId="5" borderId="1" pivotButton="0" quotePrefix="0" xfId="0"/>
    <xf numFmtId="0" fontId="9" fillId="0" borderId="0" pivotButton="0" quotePrefix="0" xfId="0"/>
    <xf numFmtId="0" fontId="0" fillId="11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CC00"/>
          <bgColor rgb="00FFCC00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'INVENTORY_TETRIS'!$A$8:$A$15</f>
            </numRef>
          </cat>
          <val>
            <numRef>
              <f>'INVENTORY_TETRIS'!$F$8:$F$15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'INVENTORY_TETRIS'!$G$8:$G$15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3526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2643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4329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Route Cost Database (Generated from Case Parameters)</t>
        </is>
      </c>
    </row>
    <row r="2">
      <c r="A2" s="14" t="inlineStr">
        <is>
          <t>From</t>
        </is>
      </c>
      <c r="B2" s="14" t="inlineStr">
        <is>
          <t>To</t>
        </is>
      </c>
      <c r="C2" s="14" t="inlineStr">
        <is>
          <t>Mode</t>
        </is>
      </c>
      <c r="D2" s="14" t="inlineStr">
        <is>
          <t>Cost</t>
        </is>
      </c>
      <c r="E2" s="14" t="inlineStr">
        <is>
          <t>LeadTime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ROUTE OPTIMIZER &amp; MATRIX</t>
        </is>
      </c>
    </row>
    <row r="3">
      <c r="A3" s="3" t="inlineStr">
        <is>
          <t>Cheapest Transport Mode Matrix ($ Cost)</t>
        </is>
      </c>
    </row>
    <row r="4">
      <c r="B4" s="15" t="inlineStr">
        <is>
          <t>Center</t>
        </is>
      </c>
      <c r="C4" s="16" t="inlineStr">
        <is>
          <t>West</t>
        </is>
      </c>
      <c r="D4" s="17" t="inlineStr">
        <is>
          <t>North</t>
        </is>
      </c>
      <c r="E4" s="18" t="inlineStr">
        <is>
          <t>East</t>
        </is>
      </c>
      <c r="F4" s="19" t="inlineStr">
        <is>
          <t>South</t>
        </is>
      </c>
    </row>
    <row r="5">
      <c r="A5" s="20" t="inlineStr">
        <is>
          <t>Center</t>
        </is>
      </c>
      <c r="B5" s="21" t="inlineStr">
        <is>
          <t>-</t>
        </is>
      </c>
      <c r="C5" s="22" t="inlineStr">
        <is>
          <t>N/A
($999999)</t>
        </is>
      </c>
      <c r="D5" s="22" t="inlineStr">
        <is>
          <t>N/A
($999999)</t>
        </is>
      </c>
      <c r="E5" s="22" t="inlineStr">
        <is>
          <t>N/A
($999999)</t>
        </is>
      </c>
      <c r="F5" s="22" t="inlineStr">
        <is>
          <t>N/A
($999999)</t>
        </is>
      </c>
    </row>
    <row r="6">
      <c r="A6" s="23" t="inlineStr">
        <is>
          <t>West</t>
        </is>
      </c>
      <c r="B6" s="22" t="inlineStr">
        <is>
          <t>N/A
($999999)</t>
        </is>
      </c>
      <c r="C6" s="21" t="inlineStr">
        <is>
          <t>-</t>
        </is>
      </c>
      <c r="D6" s="22" t="inlineStr">
        <is>
          <t>N/A
($999999)</t>
        </is>
      </c>
      <c r="E6" s="22" t="inlineStr">
        <is>
          <t>N/A
($999999)</t>
        </is>
      </c>
      <c r="F6" s="22" t="inlineStr">
        <is>
          <t>N/A
($999999)</t>
        </is>
      </c>
    </row>
    <row r="7">
      <c r="A7" s="24" t="inlineStr">
        <is>
          <t>North</t>
        </is>
      </c>
      <c r="B7" s="22" t="inlineStr">
        <is>
          <t>N/A
($999999)</t>
        </is>
      </c>
      <c r="C7" s="22" t="inlineStr">
        <is>
          <t>N/A
($999999)</t>
        </is>
      </c>
      <c r="D7" s="21" t="inlineStr">
        <is>
          <t>-</t>
        </is>
      </c>
      <c r="E7" s="22" t="inlineStr">
        <is>
          <t>N/A
($999999)</t>
        </is>
      </c>
      <c r="F7" s="22" t="inlineStr">
        <is>
          <t>N/A
($999999)</t>
        </is>
      </c>
    </row>
    <row r="8">
      <c r="A8" s="25" t="inlineStr">
        <is>
          <t>East</t>
        </is>
      </c>
      <c r="B8" s="22" t="inlineStr">
        <is>
          <t>N/A
($999999)</t>
        </is>
      </c>
      <c r="C8" s="22" t="inlineStr">
        <is>
          <t>N/A
($999999)</t>
        </is>
      </c>
      <c r="D8" s="22" t="inlineStr">
        <is>
          <t>N/A
($999999)</t>
        </is>
      </c>
      <c r="E8" s="21" t="inlineStr">
        <is>
          <t>-</t>
        </is>
      </c>
      <c r="F8" s="22" t="inlineStr">
        <is>
          <t>N/A
($999999)</t>
        </is>
      </c>
    </row>
    <row r="9">
      <c r="A9" s="26" t="inlineStr">
        <is>
          <t>South</t>
        </is>
      </c>
      <c r="B9" s="22" t="inlineStr">
        <is>
          <t>N/A
($999999)</t>
        </is>
      </c>
      <c r="C9" s="22" t="inlineStr">
        <is>
          <t>N/A
($999999)</t>
        </is>
      </c>
      <c r="D9" s="22" t="inlineStr">
        <is>
          <t>N/A
($999999)</t>
        </is>
      </c>
      <c r="E9" s="22" t="inlineStr">
        <is>
          <t>N/A
($999999)</t>
        </is>
      </c>
      <c r="F9" s="21" t="inlineStr">
        <is>
          <t>-</t>
        </is>
      </c>
    </row>
    <row r="12">
      <c r="A12" s="3" t="inlineStr">
        <is>
          <t>ROUTE CALCULATOR</t>
        </is>
      </c>
    </row>
    <row r="13">
      <c r="A13" s="27" t="inlineStr">
        <is>
          <t>From:</t>
        </is>
      </c>
      <c r="B13" s="6" t="inlineStr">
        <is>
          <t>Center</t>
        </is>
      </c>
    </row>
    <row r="14">
      <c r="A14" s="27" t="inlineStr">
        <is>
          <t>To:</t>
        </is>
      </c>
      <c r="B14" s="6" t="inlineStr">
        <is>
          <t>North</t>
        </is>
      </c>
    </row>
    <row r="16">
      <c r="A16" s="28" t="inlineStr">
        <is>
          <t>Mode</t>
        </is>
      </c>
      <c r="B16" s="28" t="inlineStr">
        <is>
          <t>Cost</t>
        </is>
      </c>
      <c r="C16" s="28" t="inlineStr">
        <is>
          <t>Lead Time</t>
        </is>
      </c>
      <c r="D16" s="28" t="inlineStr">
        <is>
          <t>Savings vs Air</t>
        </is>
      </c>
    </row>
    <row r="17">
      <c r="A17" s="5" t="inlineStr">
        <is>
          <t>Train</t>
        </is>
      </c>
      <c r="B17" s="29">
        <f>SUMIFS(LOGISTICS_DATA!D:D, LOGISTICS_DATA!A:A, $B$13, LOGISTICS_DATA!B:B, $B$14, LOGISTICS_DATA!C:C, "Train")</f>
        <v/>
      </c>
      <c r="C17" s="5">
        <f>SUMIFS(LOGISTICS_DATA!E:E, LOGISTICS_DATA!A:A, $B$13, LOGISTICS_DATA!B:B, $B$14, LOGISTICS_DATA!C:C, "Train")</f>
        <v/>
      </c>
    </row>
    <row r="18">
      <c r="A18" s="5" t="inlineStr">
        <is>
          <t>Truck</t>
        </is>
      </c>
      <c r="B18" s="29">
        <f>SUMIFS(LOGISTICS_DATA!D:D, LOGISTICS_DATA!A:A, $B$13, LOGISTICS_DATA!B:B, $B$14, LOGISTICS_DATA!C:C, "Truck")</f>
        <v/>
      </c>
      <c r="C18" s="5">
        <f>SUMIFS(LOGISTICS_DATA!E:E, LOGISTICS_DATA!A:A, $B$13, LOGISTICS_DATA!B:B, $B$14, LOGISTICS_DATA!C:C, "Truck")</f>
        <v/>
      </c>
    </row>
    <row r="19">
      <c r="A19" s="5" t="inlineStr">
        <is>
          <t>Airplane</t>
        </is>
      </c>
      <c r="B19" s="29">
        <f>SUMIFS(LOGISTICS_DATA!D:D, LOGISTICS_DATA!A:A, $B$13, LOGISTICS_DATA!B:B, $B$14, LOGISTICS_DATA!C:C, "Airplane")</f>
        <v/>
      </c>
      <c r="C19" s="5">
        <f>SUMIFS(LOGISTICS_DATA!E:E, LOGISTICS_DATA!A:A, $B$13, LOGISTICS_DATA!B:B, $B$14, LOGISTICS_DATA!C:C, "Airplane")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inventory. Watch: 🔴STOCKOUT (red), 🟡WARNING &gt;90% (yellow), 🟣OVERFLOW (purple).</t>
        </is>
      </c>
    </row>
    <row r="4">
      <c r="A4" s="30" t="inlineStr">
        <is>
          <t>═══ CENTER ZONE (Capacity: 3,526) ═══</t>
        </is>
      </c>
      <c r="I4" s="31" t="inlineStr">
        <is>
          <t>Last Period Rent: $41,423</t>
        </is>
      </c>
    </row>
    <row r="5">
      <c r="A5" s="5" t="inlineStr">
        <is>
          <t>Opening Inventory</t>
        </is>
      </c>
      <c r="B5" s="9" t="n">
        <v>1938</v>
      </c>
      <c r="D5" s="5" t="inlineStr">
        <is>
          <t>Capacity</t>
        </is>
      </c>
      <c r="E5" s="9" t="n">
        <v>3526</v>
      </c>
      <c r="G5" s="5" t="inlineStr">
        <is>
          <t>Rent Modules?</t>
        </is>
      </c>
      <c r="H5" s="6" t="n">
        <v>0</v>
      </c>
    </row>
    <row r="7">
      <c r="A7" s="32" t="inlineStr">
        <is>
          <t>Fortnight</t>
        </is>
      </c>
      <c r="B7" s="32" t="inlineStr">
        <is>
          <t>Production</t>
        </is>
      </c>
      <c r="C7" s="32" t="inlineStr">
        <is>
          <t>Sales</t>
        </is>
      </c>
      <c r="D7" s="32" t="inlineStr">
        <is>
          <t>Outgoing</t>
        </is>
      </c>
      <c r="E7" s="32" t="inlineStr">
        <is>
          <t>Incoming</t>
        </is>
      </c>
      <c r="F7" s="32" t="inlineStr">
        <is>
          <t>Projected Inv</t>
        </is>
      </c>
      <c r="G7" s="32" t="inlineStr">
        <is>
          <t>Capacity</t>
        </is>
      </c>
      <c r="H7" s="32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IF(F8&lt;0,"🔴 STOCKOUT!",IF(F8&gt;G8,"🟣 OVERFLOW!",IF(F8&gt;G8*0.9,"🟡 WARNING: &gt;90%","✓ OK")))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IF(F9&lt;0,"🔴 STOCKOUT!",IF(F9&gt;G9,"🟣 OVERFLOW!",IF(F9&gt;G9*0.9,"🟡 WARNING: &gt;90%","✓ OK")))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IF(F10&lt;0,"🔴 STOCKOUT!",IF(F10&gt;G10,"🟣 OVERFLOW!",IF(F10&gt;G10*0.9,"🟡 WARNING: &gt;90%","✓ OK")))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IF(F11&lt;0,"🔴 STOCKOUT!",IF(F11&gt;G11,"🟣 OVERFLOW!",IF(F11&gt;G11*0.9,"🟡 WARNING: &gt;90%","✓ OK")))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IF(F12&lt;0,"🔴 STOCKOUT!",IF(F12&gt;G12,"🟣 OVERFLOW!",IF(F12&gt;G12*0.9,"🟡 WARNING: &gt;90%","✓ OK")))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IF(F13&lt;0,"🔴 STOCKOUT!",IF(F13&gt;G13,"🟣 OVERFLOW!",IF(F13&gt;G13*0.9,"🟡 WARNING: &gt;90%","✓ OK")))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IF(F14&lt;0,"🔴 STOCKOUT!",IF(F14&gt;G14,"🟣 OVERFLOW!",IF(F14&gt;G14*0.9,"🟡 WARNING: &gt;90%","✓ OK")))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IF(F15&lt;0,"🔴 STOCKOUT!",IF(F15&gt;G15,"🟣 OVERFLOW!",IF(F15&gt;G15*0.9,"🟡 WARNING: &gt;90%","✓ OK")))</f>
        <v/>
      </c>
    </row>
    <row r="18">
      <c r="A18" s="33" t="inlineStr">
        <is>
          <t>═══ WEST ZONE (Capacity: 2,643) ═══</t>
        </is>
      </c>
      <c r="I18" s="31" t="inlineStr">
        <is>
          <t>Last Period Rent: $26,031</t>
        </is>
      </c>
    </row>
    <row r="19">
      <c r="A19" s="5" t="inlineStr">
        <is>
          <t>Opening Inventory</t>
        </is>
      </c>
      <c r="B19" s="9" t="n">
        <v>1080</v>
      </c>
      <c r="D19" s="5" t="inlineStr">
        <is>
          <t>Capacity</t>
        </is>
      </c>
      <c r="E19" s="9" t="n">
        <v>2643</v>
      </c>
      <c r="G19" s="5" t="inlineStr">
        <is>
          <t>Rent Modules?</t>
        </is>
      </c>
      <c r="H19" s="6" t="n">
        <v>0</v>
      </c>
    </row>
    <row r="21">
      <c r="A21" s="34" t="inlineStr">
        <is>
          <t>Fortnight</t>
        </is>
      </c>
      <c r="B21" s="34" t="inlineStr">
        <is>
          <t>Production</t>
        </is>
      </c>
      <c r="C21" s="34" t="inlineStr">
        <is>
          <t>Sales</t>
        </is>
      </c>
      <c r="D21" s="34" t="inlineStr">
        <is>
          <t>Outgoing</t>
        </is>
      </c>
      <c r="E21" s="34" t="inlineStr">
        <is>
          <t>Incoming</t>
        </is>
      </c>
      <c r="F21" s="34" t="inlineStr">
        <is>
          <t>Projected Inv</t>
        </is>
      </c>
      <c r="G21" s="34" t="inlineStr">
        <is>
          <t>Capacity</t>
        </is>
      </c>
      <c r="H21" s="34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IF(F22&lt;0,"🔴 STOCKOUT!",IF(F22&gt;G22,"🟣 OVERFLOW!",IF(F22&gt;G22*0.9,"🟡 WARNING: &gt;90%","✓ OK")))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IF(F23&lt;0,"🔴 STOCKOUT!",IF(F23&gt;G23,"🟣 OVERFLOW!",IF(F23&gt;G23*0.9,"🟡 WARNING: &gt;90%","✓ OK")))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IF(F24&lt;0,"🔴 STOCKOUT!",IF(F24&gt;G24,"🟣 OVERFLOW!",IF(F24&gt;G24*0.9,"🟡 WARNING: &gt;90%","✓ OK")))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IF(F25&lt;0,"🔴 STOCKOUT!",IF(F25&gt;G25,"🟣 OVERFLOW!",IF(F25&gt;G25*0.9,"🟡 WARNING: &gt;90%","✓ OK")))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IF(F26&lt;0,"🔴 STOCKOUT!",IF(F26&gt;G26,"🟣 OVERFLOW!",IF(F26&gt;G26*0.9,"🟡 WARNING: &gt;90%","✓ OK")))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IF(F27&lt;0,"🔴 STOCKOUT!",IF(F27&gt;G27,"🟣 OVERFLOW!",IF(F27&gt;G27*0.9,"🟡 WARNING: &gt;90%","✓ OK")))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IF(F28&lt;0,"🔴 STOCKOUT!",IF(F28&gt;G28,"🟣 OVERFLOW!",IF(F28&gt;G28*0.9,"🟡 WARNING: &gt;90%","✓ OK")))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IF(F29&lt;0,"🔴 STOCKOUT!",IF(F29&gt;G29,"🟣 OVERFLOW!",IF(F29&gt;G29*0.9,"🟡 WARNING: &gt;90%","✓ OK")))</f>
        <v/>
      </c>
      <c r="J29">
        <f>B29+E29</f>
        <v/>
      </c>
      <c r="K29">
        <f>C29+D29</f>
        <v/>
      </c>
    </row>
    <row r="32">
      <c r="A32" s="35" t="inlineStr">
        <is>
          <t>═══ NORTH ZONE (Capacity: 4,329) ═══</t>
        </is>
      </c>
      <c r="I32" s="31" t="inlineStr">
        <is>
          <t>Last Period Rent: $48,858</t>
        </is>
      </c>
    </row>
    <row r="33">
      <c r="A33" s="5" t="inlineStr">
        <is>
          <t>Opening Inventory</t>
        </is>
      </c>
      <c r="B33" s="9" t="n">
        <v>1569</v>
      </c>
      <c r="D33" s="5" t="inlineStr">
        <is>
          <t>Capacity</t>
        </is>
      </c>
      <c r="E33" s="9" t="n">
        <v>4329</v>
      </c>
      <c r="G33" s="5" t="inlineStr">
        <is>
          <t>Rent Modules?</t>
        </is>
      </c>
      <c r="H33" s="6" t="n">
        <v>0</v>
      </c>
    </row>
    <row r="35">
      <c r="A35" s="36" t="inlineStr">
        <is>
          <t>Fortnight</t>
        </is>
      </c>
      <c r="B35" s="36" t="inlineStr">
        <is>
          <t>Production</t>
        </is>
      </c>
      <c r="C35" s="36" t="inlineStr">
        <is>
          <t>Sales</t>
        </is>
      </c>
      <c r="D35" s="36" t="inlineStr">
        <is>
          <t>Outgoing</t>
        </is>
      </c>
      <c r="E35" s="36" t="inlineStr">
        <is>
          <t>Incoming</t>
        </is>
      </c>
      <c r="F35" s="36" t="inlineStr">
        <is>
          <t>Projected Inv</t>
        </is>
      </c>
      <c r="G35" s="36" t="inlineStr">
        <is>
          <t>Capacity</t>
        </is>
      </c>
      <c r="H35" s="36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IF(F36&lt;0,"🔴 STOCKOUT!",IF(F36&gt;G36,"🟣 OVERFLOW!",IF(F36&gt;G36*0.9,"🟡 WARNING: &gt;90%","✓ OK")))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IF(F37&lt;0,"🔴 STOCKOUT!",IF(F37&gt;G37,"🟣 OVERFLOW!",IF(F37&gt;G37*0.9,"🟡 WARNING: &gt;90%","✓ OK")))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IF(F38&lt;0,"🔴 STOCKOUT!",IF(F38&gt;G38,"🟣 OVERFLOW!",IF(F38&gt;G38*0.9,"🟡 WARNING: &gt;90%","✓ OK")))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IF(F39&lt;0,"🔴 STOCKOUT!",IF(F39&gt;G39,"🟣 OVERFLOW!",IF(F39&gt;G39*0.9,"🟡 WARNING: &gt;90%","✓ OK")))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IF(F40&lt;0,"🔴 STOCKOUT!",IF(F40&gt;G40,"🟣 OVERFLOW!",IF(F40&gt;G40*0.9,"🟡 WARNING: &gt;90%","✓ OK")))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IF(F41&lt;0,"🔴 STOCKOUT!",IF(F41&gt;G41,"🟣 OVERFLOW!",IF(F41&gt;G41*0.9,"🟡 WARNING: &gt;90%","✓ OK")))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IF(F42&lt;0,"🔴 STOCKOUT!",IF(F42&gt;G42,"🟣 OVERFLOW!",IF(F42&gt;G42*0.9,"🟡 WARNING: &gt;90%","✓ OK")))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IF(F43&lt;0,"🔴 STOCKOUT!",IF(F43&gt;G43,"🟣 OVERFLOW!",IF(F43&gt;G43*0.9,"🟡 WARNING: &gt;90%","✓ OK")))</f>
        <v/>
      </c>
      <c r="J43">
        <f>B43+E43</f>
        <v/>
      </c>
      <c r="K43">
        <f>C43+D43</f>
        <v/>
      </c>
    </row>
    <row r="46">
      <c r="A46" s="37" t="inlineStr">
        <is>
          <t>═══ EAST ZONE (Capacity: 0) ═══</t>
        </is>
      </c>
      <c r="I46" s="31" t="inlineStr">
        <is>
          <t>Last Period Rent: $16,137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38" t="inlineStr">
        <is>
          <t>Fortnight</t>
        </is>
      </c>
      <c r="B49" s="38" t="inlineStr">
        <is>
          <t>Production</t>
        </is>
      </c>
      <c r="C49" s="38" t="inlineStr">
        <is>
          <t>Sales</t>
        </is>
      </c>
      <c r="D49" s="38" t="inlineStr">
        <is>
          <t>Outgoing</t>
        </is>
      </c>
      <c r="E49" s="38" t="inlineStr">
        <is>
          <t>Incoming</t>
        </is>
      </c>
      <c r="F49" s="38" t="inlineStr">
        <is>
          <t>Projected Inv</t>
        </is>
      </c>
      <c r="G49" s="38" t="inlineStr">
        <is>
          <t>Capacity</t>
        </is>
      </c>
      <c r="H49" s="38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IF(F50&lt;0,"🔴 STOCKOUT!",IF(F50&gt;G50,"🟣 OVERFLOW!",IF(F50&gt;G50*0.9,"🟡 WARNING: &gt;90%","✓ OK")))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IF(F51&lt;0,"🔴 STOCKOUT!",IF(F51&gt;G51,"🟣 OVERFLOW!",IF(F51&gt;G51*0.9,"🟡 WARNING: &gt;90%","✓ OK")))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IF(F52&lt;0,"🔴 STOCKOUT!",IF(F52&gt;G52,"🟣 OVERFLOW!",IF(F52&gt;G52*0.9,"🟡 WARNING: &gt;90%","✓ OK")))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IF(F53&lt;0,"🔴 STOCKOUT!",IF(F53&gt;G53,"🟣 OVERFLOW!",IF(F53&gt;G53*0.9,"🟡 WARNING: &gt;90%","✓ OK")))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IF(F54&lt;0,"🔴 STOCKOUT!",IF(F54&gt;G54,"🟣 OVERFLOW!",IF(F54&gt;G54*0.9,"🟡 WARNING: &gt;90%","✓ OK")))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IF(F55&lt;0,"🔴 STOCKOUT!",IF(F55&gt;G55,"🟣 OVERFLOW!",IF(F55&gt;G55*0.9,"🟡 WARNING: &gt;90%","✓ OK")))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IF(F56&lt;0,"🔴 STOCKOUT!",IF(F56&gt;G56,"🟣 OVERFLOW!",IF(F56&gt;G56*0.9,"🟡 WARNING: &gt;90%","✓ OK")))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IF(F57&lt;0,"🔴 STOCKOUT!",IF(F57&gt;G57,"🟣 OVERFLOW!",IF(F57&gt;G57*0.9,"🟡 WARNING: &gt;90%","✓ OK")))</f>
        <v/>
      </c>
      <c r="J57">
        <f>B57+E57</f>
        <v/>
      </c>
      <c r="K57">
        <f>C57+D57</f>
        <v/>
      </c>
    </row>
    <row r="60">
      <c r="A60" s="39" t="inlineStr">
        <is>
          <t>═══ SOUTH ZONE (Capacity: 0) ═══</t>
        </is>
      </c>
      <c r="I60" s="31" t="inlineStr">
        <is>
          <t>Last Period Rent: $43,604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40" t="inlineStr">
        <is>
          <t>Fortnight</t>
        </is>
      </c>
      <c r="B63" s="40" t="inlineStr">
        <is>
          <t>Production</t>
        </is>
      </c>
      <c r="C63" s="40" t="inlineStr">
        <is>
          <t>Sales</t>
        </is>
      </c>
      <c r="D63" s="40" t="inlineStr">
        <is>
          <t>Outgoing</t>
        </is>
      </c>
      <c r="E63" s="40" t="inlineStr">
        <is>
          <t>Incoming</t>
        </is>
      </c>
      <c r="F63" s="40" t="inlineStr">
        <is>
          <t>Projected Inv</t>
        </is>
      </c>
      <c r="G63" s="40" t="inlineStr">
        <is>
          <t>Capacity</t>
        </is>
      </c>
      <c r="H63" s="40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IF(F64&lt;0,"🔴 STOCKOUT!",IF(F64&gt;G64,"🟣 OVERFLOW!",IF(F64&gt;G64*0.9,"🟡 WARNING: &gt;90%","✓ OK")))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IF(F65&lt;0,"🔴 STOCKOUT!",IF(F65&gt;G65,"🟣 OVERFLOW!",IF(F65&gt;G65*0.9,"🟡 WARNING: &gt;90%","✓ OK")))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IF(F66&lt;0,"🔴 STOCKOUT!",IF(F66&gt;G66,"🟣 OVERFLOW!",IF(F66&gt;G66*0.9,"🟡 WARNING: &gt;90%","✓ OK")))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IF(F67&lt;0,"🔴 STOCKOUT!",IF(F67&gt;G67,"🟣 OVERFLOW!",IF(F67&gt;G67*0.9,"🟡 WARNING: &gt;90%","✓ OK")))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IF(F68&lt;0,"🔴 STOCKOUT!",IF(F68&gt;G68,"🟣 OVERFLOW!",IF(F68&gt;G68*0.9,"🟡 WARNING: &gt;90%","✓ OK")))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IF(F69&lt;0,"🔴 STOCKOUT!",IF(F69&gt;G69,"🟣 OVERFLOW!",IF(F69&gt;G69*0.9,"🟡 WARNING: &gt;90%","✓ OK")))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IF(F70&lt;0,"🔴 STOCKOUT!",IF(F70&gt;G70,"🟣 OVERFLOW!",IF(F70&gt;G70*0.9,"🟡 WARNING: &gt;90%","✓ OK")))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IF(F71&lt;0,"🔴 STOCKOUT!",IF(F71&gt;G71,"🟣 OVERFLOW!",IF(F71&gt;G71*0.9,"🟡 WARNING: &gt;90%","✓ OK")))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AND(F8&gt;G8*0.9, F8&lt;=G8)</formula>
    </cfRule>
    <cfRule type="expression" priority="4" dxfId="3">
      <formula>AND(F8&gt;=0, F8&lt;=G8*0.9)</formula>
    </cfRule>
  </conditionalFormatting>
  <conditionalFormatting sqref="F22:F29">
    <cfRule type="expression" priority="5" dxfId="0">
      <formula>F22&lt;0</formula>
    </cfRule>
    <cfRule type="expression" priority="6" dxfId="1">
      <formula>F22&gt;G22</formula>
    </cfRule>
    <cfRule type="expression" priority="7" dxfId="2">
      <formula>AND(F22&gt;G22*0.9, F22&lt;=G22)</formula>
    </cfRule>
    <cfRule type="expression" priority="8" dxfId="3">
      <formula>AND(F22&gt;=0, F22&lt;=G22*0.9)</formula>
    </cfRule>
  </conditionalFormatting>
  <conditionalFormatting sqref="F36:F43">
    <cfRule type="expression" priority="9" dxfId="0">
      <formula>F36&lt;0</formula>
    </cfRule>
    <cfRule type="expression" priority="10" dxfId="1">
      <formula>F36&gt;G36</formula>
    </cfRule>
    <cfRule type="expression" priority="11" dxfId="2">
      <formula>AND(F36&gt;G36*0.9, F36&lt;=G36)</formula>
    </cfRule>
    <cfRule type="expression" priority="12" dxfId="3">
      <formula>AND(F36&gt;=0, F36&lt;=G36*0.9)</formula>
    </cfRule>
  </conditionalFormatting>
  <conditionalFormatting sqref="F50:F57">
    <cfRule type="expression" priority="13" dxfId="0">
      <formula>F50&lt;0</formula>
    </cfRule>
    <cfRule type="expression" priority="14" dxfId="1">
      <formula>F50&gt;G50</formula>
    </cfRule>
    <cfRule type="expression" priority="15" dxfId="2">
      <formula>AND(F50&gt;G50*0.9, F50&lt;=G50)</formula>
    </cfRule>
    <cfRule type="expression" priority="16" dxfId="3">
      <formula>AND(F50&gt;=0, F50&lt;=G50*0.9)</formula>
    </cfRule>
  </conditionalFormatting>
  <conditionalFormatting sqref="F64:F71">
    <cfRule type="expression" priority="17" dxfId="0">
      <formula>F64&lt;0</formula>
    </cfRule>
    <cfRule type="expression" priority="18" dxfId="1">
      <formula>F64&gt;G64</formula>
    </cfRule>
    <cfRule type="expression" priority="19" dxfId="2">
      <formula>AND(F64&gt;G64*0.9, F64&lt;=G64)</formula>
    </cfRule>
    <cfRule type="expression" priority="20" dxfId="3">
      <formula>AND(F64&gt;=0, F64&lt;=G64*0.9)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5" customWidth="1" min="13" max="13"/>
    <col width="16" customWidth="1" min="14" max="14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  <c r="M4" s="3" t="inlineStr">
        <is>
          <t>HISTORICAL COST BENCHMARKS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  <c r="M5" s="4" t="inlineStr">
        <is>
          <t>Route</t>
        </is>
      </c>
      <c r="N5" s="4" t="inlineStr">
        <is>
          <t>Benchmark $/Unit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41">
        <f>IF(ISBLANK(D6), 0, VLOOKUP(D6, ROUTE_CONFIG!$A$6:$C$8, 3, FALSE))</f>
        <v/>
      </c>
      <c r="G6" s="41">
        <f>IF(ISBLANK(D6), 0, E6*F6)</f>
        <v/>
      </c>
      <c r="H6" s="42" t="n"/>
      <c r="I6" s="43">
        <f>IF(ISBLANK(D6), 0, VLOOKUP(D6, ROUTE_CONFIG!$A$6:$C$8, 2, FALSE))</f>
        <v/>
      </c>
      <c r="J6" s="44">
        <f>IF(ISBLANK(D6), 0, H6+I6)</f>
        <v/>
      </c>
      <c r="M6" s="9" t="inlineStr">
        <is>
          <t>Train (Center - West)</t>
        </is>
      </c>
      <c r="N6" s="45" t="n">
        <v>11.19</v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41">
        <f>IF(ISBLANK(D7), 0, VLOOKUP(D7, ROUTE_CONFIG!$A$6:$C$8, 3, FALSE))</f>
        <v/>
      </c>
      <c r="G7" s="41">
        <f>IF(ISBLANK(D7), 0, E7*F7)</f>
        <v/>
      </c>
      <c r="H7" s="42" t="n"/>
      <c r="I7" s="43">
        <f>IF(ISBLANK(D7), 0, VLOOKUP(D7, ROUTE_CONFIG!$A$6:$C$8, 2, FALSE))</f>
        <v/>
      </c>
      <c r="J7" s="44">
        <f>IF(ISBLANK(D7), 0, H7+I7)</f>
        <v/>
      </c>
      <c r="M7" s="9" t="inlineStr">
        <is>
          <t>Train (Center - North)</t>
        </is>
      </c>
      <c r="N7" s="45" t="n">
        <v>13.08894736842105</v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41">
        <f>IF(ISBLANK(D8), 0, VLOOKUP(D8, ROUTE_CONFIG!$A$6:$C$8, 3, FALSE))</f>
        <v/>
      </c>
      <c r="G8" s="41">
        <f>IF(ISBLANK(D8), 0, E8*F8)</f>
        <v/>
      </c>
      <c r="H8" s="42" t="n"/>
      <c r="I8" s="43">
        <f>IF(ISBLANK(D8), 0, VLOOKUP(D8, ROUTE_CONFIG!$A$6:$C$8, 2, FALSE))</f>
        <v/>
      </c>
      <c r="J8" s="44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41">
        <f>IF(ISBLANK(D9), 0, VLOOKUP(D9, ROUTE_CONFIG!$A$6:$C$8, 3, FALSE))</f>
        <v/>
      </c>
      <c r="G9" s="41">
        <f>IF(ISBLANK(D9), 0, E9*F9)</f>
        <v/>
      </c>
      <c r="H9" s="42" t="n"/>
      <c r="I9" s="43">
        <f>IF(ISBLANK(D9), 0, VLOOKUP(D9, ROUTE_CONFIG!$A$6:$C$8, 2, FALSE))</f>
        <v/>
      </c>
      <c r="J9" s="44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41">
        <f>IF(ISBLANK(D10), 0, VLOOKUP(D10, ROUTE_CONFIG!$A$6:$C$8, 3, FALSE))</f>
        <v/>
      </c>
      <c r="G10" s="41">
        <f>IF(ISBLANK(D10), 0, E10*F10)</f>
        <v/>
      </c>
      <c r="H10" s="42" t="n"/>
      <c r="I10" s="43">
        <f>IF(ISBLANK(D10), 0, VLOOKUP(D10, ROUTE_CONFIG!$A$6:$C$8, 2, FALSE))</f>
        <v/>
      </c>
      <c r="J10" s="44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41">
        <f>IF(ISBLANK(D11), 0, VLOOKUP(D11, ROUTE_CONFIG!$A$6:$C$8, 3, FALSE))</f>
        <v/>
      </c>
      <c r="G11" s="41">
        <f>IF(ISBLANK(D11), 0, E11*F11)</f>
        <v/>
      </c>
      <c r="H11" s="42" t="n"/>
      <c r="I11" s="43">
        <f>IF(ISBLANK(D11), 0, VLOOKUP(D11, ROUTE_CONFIG!$A$6:$C$8, 2, FALSE))</f>
        <v/>
      </c>
      <c r="J11" s="44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41">
        <f>IF(ISBLANK(D12), 0, VLOOKUP(D12, ROUTE_CONFIG!$A$6:$C$8, 3, FALSE))</f>
        <v/>
      </c>
      <c r="G12" s="41">
        <f>IF(ISBLANK(D12), 0, E12*F12)</f>
        <v/>
      </c>
      <c r="H12" s="42" t="n"/>
      <c r="I12" s="43">
        <f>IF(ISBLANK(D12), 0, VLOOKUP(D12, ROUTE_CONFIG!$A$6:$C$8, 2, FALSE))</f>
        <v/>
      </c>
      <c r="J12" s="44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41">
        <f>IF(ISBLANK(D13), 0, VLOOKUP(D13, ROUTE_CONFIG!$A$6:$C$8, 3, FALSE))</f>
        <v/>
      </c>
      <c r="G13" s="41">
        <f>IF(ISBLANK(D13), 0, E13*F13)</f>
        <v/>
      </c>
      <c r="H13" s="42" t="n"/>
      <c r="I13" s="43">
        <f>IF(ISBLANK(D13), 0, VLOOKUP(D13, ROUTE_CONFIG!$A$6:$C$8, 2, FALSE))</f>
        <v/>
      </c>
      <c r="J13" s="44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41">
        <f>IF(ISBLANK(D14), 0, VLOOKUP(D14, ROUTE_CONFIG!$A$6:$C$8, 3, FALSE))</f>
        <v/>
      </c>
      <c r="G14" s="41">
        <f>IF(ISBLANK(D14), 0, E14*F14)</f>
        <v/>
      </c>
      <c r="H14" s="42" t="n"/>
      <c r="I14" s="43">
        <f>IF(ISBLANK(D14), 0, VLOOKUP(D14, ROUTE_CONFIG!$A$6:$C$8, 2, FALSE))</f>
        <v/>
      </c>
      <c r="J14" s="44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41">
        <f>IF(ISBLANK(D15), 0, VLOOKUP(D15, ROUTE_CONFIG!$A$6:$C$8, 3, FALSE))</f>
        <v/>
      </c>
      <c r="G15" s="41">
        <f>IF(ISBLANK(D15), 0, E15*F15)</f>
        <v/>
      </c>
      <c r="H15" s="42" t="n"/>
      <c r="I15" s="43">
        <f>IF(ISBLANK(D15), 0, VLOOKUP(D15, ROUTE_CONFIG!$A$6:$C$8, 2, FALSE))</f>
        <v/>
      </c>
      <c r="J15" s="44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41">
        <f>IF(ISBLANK(D16), 0, VLOOKUP(D16, ROUTE_CONFIG!$A$6:$C$8, 3, FALSE))</f>
        <v/>
      </c>
      <c r="G16" s="41">
        <f>IF(ISBLANK(D16), 0, E16*F16)</f>
        <v/>
      </c>
      <c r="H16" s="42" t="n"/>
      <c r="I16" s="43">
        <f>IF(ISBLANK(D16), 0, VLOOKUP(D16, ROUTE_CONFIG!$A$6:$C$8, 2, FALSE))</f>
        <v/>
      </c>
      <c r="J16" s="44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41">
        <f>IF(ISBLANK(D17), 0, VLOOKUP(D17, ROUTE_CONFIG!$A$6:$C$8, 3, FALSE))</f>
        <v/>
      </c>
      <c r="G17" s="41">
        <f>IF(ISBLANK(D17), 0, E17*F17)</f>
        <v/>
      </c>
      <c r="H17" s="42" t="n"/>
      <c r="I17" s="43">
        <f>IF(ISBLANK(D17), 0, VLOOKUP(D17, ROUTE_CONFIG!$A$6:$C$8, 2, FALSE))</f>
        <v/>
      </c>
      <c r="J17" s="44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41">
        <f>IF(ISBLANK(D18), 0, VLOOKUP(D18, ROUTE_CONFIG!$A$6:$C$8, 3, FALSE))</f>
        <v/>
      </c>
      <c r="G18" s="41">
        <f>IF(ISBLANK(D18), 0, E18*F18)</f>
        <v/>
      </c>
      <c r="H18" s="42" t="n"/>
      <c r="I18" s="43">
        <f>IF(ISBLANK(D18), 0, VLOOKUP(D18, ROUTE_CONFIG!$A$6:$C$8, 2, FALSE))</f>
        <v/>
      </c>
      <c r="J18" s="44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41">
        <f>IF(ISBLANK(D19), 0, VLOOKUP(D19, ROUTE_CONFIG!$A$6:$C$8, 3, FALSE))</f>
        <v/>
      </c>
      <c r="G19" s="41">
        <f>IF(ISBLANK(D19), 0, E19*F19)</f>
        <v/>
      </c>
      <c r="H19" s="42" t="n"/>
      <c r="I19" s="43">
        <f>IF(ISBLANK(D19), 0, VLOOKUP(D19, ROUTE_CONFIG!$A$6:$C$8, 2, FALSE))</f>
        <v/>
      </c>
      <c r="J19" s="44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41">
        <f>IF(ISBLANK(D20), 0, VLOOKUP(D20, ROUTE_CONFIG!$A$6:$C$8, 3, FALSE))</f>
        <v/>
      </c>
      <c r="G20" s="41">
        <f>IF(ISBLANK(D20), 0, E20*F20)</f>
        <v/>
      </c>
      <c r="H20" s="42" t="n"/>
      <c r="I20" s="43">
        <f>IF(ISBLANK(D20), 0, VLOOKUP(D20, ROUTE_CONFIG!$A$6:$C$8, 2, FALSE))</f>
        <v/>
      </c>
      <c r="J20" s="44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41">
        <f>IF(ISBLANK(D21), 0, VLOOKUP(D21, ROUTE_CONFIG!$A$6:$C$8, 3, FALSE))</f>
        <v/>
      </c>
      <c r="G21" s="41">
        <f>IF(ISBLANK(D21), 0, E21*F21)</f>
        <v/>
      </c>
      <c r="H21" s="42" t="n"/>
      <c r="I21" s="43">
        <f>IF(ISBLANK(D21), 0, VLOOKUP(D21, ROUTE_CONFIG!$A$6:$C$8, 2, FALSE))</f>
        <v/>
      </c>
      <c r="J21" s="44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41">
        <f>IF(ISBLANK(D22), 0, VLOOKUP(D22, ROUTE_CONFIG!$A$6:$C$8, 3, FALSE))</f>
        <v/>
      </c>
      <c r="G22" s="41">
        <f>IF(ISBLANK(D22), 0, E22*F22)</f>
        <v/>
      </c>
      <c r="H22" s="42" t="n"/>
      <c r="I22" s="43">
        <f>IF(ISBLANK(D22), 0, VLOOKUP(D22, ROUTE_CONFIG!$A$6:$C$8, 2, FALSE))</f>
        <v/>
      </c>
      <c r="J22" s="44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41">
        <f>IF(ISBLANK(D23), 0, VLOOKUP(D23, ROUTE_CONFIG!$A$6:$C$8, 3, FALSE))</f>
        <v/>
      </c>
      <c r="G23" s="41">
        <f>IF(ISBLANK(D23), 0, E23*F23)</f>
        <v/>
      </c>
      <c r="H23" s="42" t="n"/>
      <c r="I23" s="43">
        <f>IF(ISBLANK(D23), 0, VLOOKUP(D23, ROUTE_CONFIG!$A$6:$C$8, 2, FALSE))</f>
        <v/>
      </c>
      <c r="J23" s="44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41">
        <f>IF(ISBLANK(D24), 0, VLOOKUP(D24, ROUTE_CONFIG!$A$6:$C$8, 3, FALSE))</f>
        <v/>
      </c>
      <c r="G24" s="41">
        <f>IF(ISBLANK(D24), 0, E24*F24)</f>
        <v/>
      </c>
      <c r="H24" s="42" t="n"/>
      <c r="I24" s="43">
        <f>IF(ISBLANK(D24), 0, VLOOKUP(D24, ROUTE_CONFIG!$A$6:$C$8, 2, FALSE))</f>
        <v/>
      </c>
      <c r="J24" s="44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41">
        <f>IF(ISBLANK(D25), 0, VLOOKUP(D25, ROUTE_CONFIG!$A$6:$C$8, 3, FALSE))</f>
        <v/>
      </c>
      <c r="G25" s="41">
        <f>IF(ISBLANK(D25), 0, E25*F25)</f>
        <v/>
      </c>
      <c r="H25" s="42" t="n"/>
      <c r="I25" s="43">
        <f>IF(ISBLANK(D25), 0, VLOOKUP(D25, ROUTE_CONFIG!$A$6:$C$8, 2, FALSE))</f>
        <v/>
      </c>
      <c r="J25" s="44">
        <f>IF(ISBLANK(D25), 0, H25+I25)</f>
        <v/>
      </c>
    </row>
    <row r="27">
      <c r="A27" s="46" t="inlineStr">
        <is>
          <t>⚠️ Red cells = Cost &gt;20% above avg benchmark ($12.14 avg)</t>
        </is>
      </c>
    </row>
  </sheetData>
  <mergeCells count="1">
    <mergeCell ref="M4:N4"/>
  </mergeCells>
  <conditionalFormatting sqref="F6:F25">
    <cfRule type="expression" priority="1" dxfId="4">
      <formula>F6&gt;14.56736842105263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47">
        <f>IF(SHIPMENT_BUILDER!$H$6=1, SHIPMENT_BUILDER!$E$6, 0)</f>
        <v/>
      </c>
      <c r="F6" s="47">
        <f>IF(SHIPMENT_BUILDER!$H$6=2, SHIPMENT_BUILDER!$E$6, 0)</f>
        <v/>
      </c>
      <c r="G6" s="47">
        <f>IF(SHIPMENT_BUILDER!$H$6=3, SHIPMENT_BUILDER!$E$6, 0)</f>
        <v/>
      </c>
      <c r="H6" s="47">
        <f>IF(SHIPMENT_BUILDER!$H$6=4, SHIPMENT_BUILDER!$E$6, 0)</f>
        <v/>
      </c>
      <c r="I6" s="47">
        <f>IF(SHIPMENT_BUILDER!$H$6=5, SHIPMENT_BUILDER!$E$6, 0)</f>
        <v/>
      </c>
      <c r="J6" s="47">
        <f>IF(SHIPMENT_BUILDER!$H$6=6, SHIPMENT_BUILDER!$E$6, 0)</f>
        <v/>
      </c>
      <c r="K6" s="47">
        <f>IF(SHIPMENT_BUILDER!$H$6=7, SHIPMENT_BUILDER!$E$6, 0)</f>
        <v/>
      </c>
      <c r="L6" s="47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47">
        <f>IF(SHIPMENT_BUILDER!$H$7=1, SHIPMENT_BUILDER!$E$7, 0)</f>
        <v/>
      </c>
      <c r="F7" s="47">
        <f>IF(SHIPMENT_BUILDER!$H$7=2, SHIPMENT_BUILDER!$E$7, 0)</f>
        <v/>
      </c>
      <c r="G7" s="47">
        <f>IF(SHIPMENT_BUILDER!$H$7=3, SHIPMENT_BUILDER!$E$7, 0)</f>
        <v/>
      </c>
      <c r="H7" s="47">
        <f>IF(SHIPMENT_BUILDER!$H$7=4, SHIPMENT_BUILDER!$E$7, 0)</f>
        <v/>
      </c>
      <c r="I7" s="47">
        <f>IF(SHIPMENT_BUILDER!$H$7=5, SHIPMENT_BUILDER!$E$7, 0)</f>
        <v/>
      </c>
      <c r="J7" s="47">
        <f>IF(SHIPMENT_BUILDER!$H$7=6, SHIPMENT_BUILDER!$E$7, 0)</f>
        <v/>
      </c>
      <c r="K7" s="47">
        <f>IF(SHIPMENT_BUILDER!$H$7=7, SHIPMENT_BUILDER!$E$7, 0)</f>
        <v/>
      </c>
      <c r="L7" s="47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47">
        <f>IF(SHIPMENT_BUILDER!$H$8=1, SHIPMENT_BUILDER!$E$8, 0)</f>
        <v/>
      </c>
      <c r="F8" s="47">
        <f>IF(SHIPMENT_BUILDER!$H$8=2, SHIPMENT_BUILDER!$E$8, 0)</f>
        <v/>
      </c>
      <c r="G8" s="47">
        <f>IF(SHIPMENT_BUILDER!$H$8=3, SHIPMENT_BUILDER!$E$8, 0)</f>
        <v/>
      </c>
      <c r="H8" s="47">
        <f>IF(SHIPMENT_BUILDER!$H$8=4, SHIPMENT_BUILDER!$E$8, 0)</f>
        <v/>
      </c>
      <c r="I8" s="47">
        <f>IF(SHIPMENT_BUILDER!$H$8=5, SHIPMENT_BUILDER!$E$8, 0)</f>
        <v/>
      </c>
      <c r="J8" s="47">
        <f>IF(SHIPMENT_BUILDER!$H$8=6, SHIPMENT_BUILDER!$E$8, 0)</f>
        <v/>
      </c>
      <c r="K8" s="47">
        <f>IF(SHIPMENT_BUILDER!$H$8=7, SHIPMENT_BUILDER!$E$8, 0)</f>
        <v/>
      </c>
      <c r="L8" s="47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47">
        <f>IF(SHIPMENT_BUILDER!$H$9=1, SHIPMENT_BUILDER!$E$9, 0)</f>
        <v/>
      </c>
      <c r="F9" s="47">
        <f>IF(SHIPMENT_BUILDER!$H$9=2, SHIPMENT_BUILDER!$E$9, 0)</f>
        <v/>
      </c>
      <c r="G9" s="47">
        <f>IF(SHIPMENT_BUILDER!$H$9=3, SHIPMENT_BUILDER!$E$9, 0)</f>
        <v/>
      </c>
      <c r="H9" s="47">
        <f>IF(SHIPMENT_BUILDER!$H$9=4, SHIPMENT_BUILDER!$E$9, 0)</f>
        <v/>
      </c>
      <c r="I9" s="47">
        <f>IF(SHIPMENT_BUILDER!$H$9=5, SHIPMENT_BUILDER!$E$9, 0)</f>
        <v/>
      </c>
      <c r="J9" s="47">
        <f>IF(SHIPMENT_BUILDER!$H$9=6, SHIPMENT_BUILDER!$E$9, 0)</f>
        <v/>
      </c>
      <c r="K9" s="47">
        <f>IF(SHIPMENT_BUILDER!$H$9=7, SHIPMENT_BUILDER!$E$9, 0)</f>
        <v/>
      </c>
      <c r="L9" s="47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47">
        <f>IF(SHIPMENT_BUILDER!$H$10=1, SHIPMENT_BUILDER!$E$10, 0)</f>
        <v/>
      </c>
      <c r="F10" s="47">
        <f>IF(SHIPMENT_BUILDER!$H$10=2, SHIPMENT_BUILDER!$E$10, 0)</f>
        <v/>
      </c>
      <c r="G10" s="47">
        <f>IF(SHIPMENT_BUILDER!$H$10=3, SHIPMENT_BUILDER!$E$10, 0)</f>
        <v/>
      </c>
      <c r="H10" s="47">
        <f>IF(SHIPMENT_BUILDER!$H$10=4, SHIPMENT_BUILDER!$E$10, 0)</f>
        <v/>
      </c>
      <c r="I10" s="47">
        <f>IF(SHIPMENT_BUILDER!$H$10=5, SHIPMENT_BUILDER!$E$10, 0)</f>
        <v/>
      </c>
      <c r="J10" s="47">
        <f>IF(SHIPMENT_BUILDER!$H$10=6, SHIPMENT_BUILDER!$E$10, 0)</f>
        <v/>
      </c>
      <c r="K10" s="47">
        <f>IF(SHIPMENT_BUILDER!$H$10=7, SHIPMENT_BUILDER!$E$10, 0)</f>
        <v/>
      </c>
      <c r="L10" s="47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47">
        <f>IF(SHIPMENT_BUILDER!$H$11=1, SHIPMENT_BUILDER!$E$11, 0)</f>
        <v/>
      </c>
      <c r="F11" s="47">
        <f>IF(SHIPMENT_BUILDER!$H$11=2, SHIPMENT_BUILDER!$E$11, 0)</f>
        <v/>
      </c>
      <c r="G11" s="47">
        <f>IF(SHIPMENT_BUILDER!$H$11=3, SHIPMENT_BUILDER!$E$11, 0)</f>
        <v/>
      </c>
      <c r="H11" s="47">
        <f>IF(SHIPMENT_BUILDER!$H$11=4, SHIPMENT_BUILDER!$E$11, 0)</f>
        <v/>
      </c>
      <c r="I11" s="47">
        <f>IF(SHIPMENT_BUILDER!$H$11=5, SHIPMENT_BUILDER!$E$11, 0)</f>
        <v/>
      </c>
      <c r="J11" s="47">
        <f>IF(SHIPMENT_BUILDER!$H$11=6, SHIPMENT_BUILDER!$E$11, 0)</f>
        <v/>
      </c>
      <c r="K11" s="47">
        <f>IF(SHIPMENT_BUILDER!$H$11=7, SHIPMENT_BUILDER!$E$11, 0)</f>
        <v/>
      </c>
      <c r="L11" s="47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47">
        <f>IF(SHIPMENT_BUILDER!$H$12=1, SHIPMENT_BUILDER!$E$12, 0)</f>
        <v/>
      </c>
      <c r="F12" s="47">
        <f>IF(SHIPMENT_BUILDER!$H$12=2, SHIPMENT_BUILDER!$E$12, 0)</f>
        <v/>
      </c>
      <c r="G12" s="47">
        <f>IF(SHIPMENT_BUILDER!$H$12=3, SHIPMENT_BUILDER!$E$12, 0)</f>
        <v/>
      </c>
      <c r="H12" s="47">
        <f>IF(SHIPMENT_BUILDER!$H$12=4, SHIPMENT_BUILDER!$E$12, 0)</f>
        <v/>
      </c>
      <c r="I12" s="47">
        <f>IF(SHIPMENT_BUILDER!$H$12=5, SHIPMENT_BUILDER!$E$12, 0)</f>
        <v/>
      </c>
      <c r="J12" s="47">
        <f>IF(SHIPMENT_BUILDER!$H$12=6, SHIPMENT_BUILDER!$E$12, 0)</f>
        <v/>
      </c>
      <c r="K12" s="47">
        <f>IF(SHIPMENT_BUILDER!$H$12=7, SHIPMENT_BUILDER!$E$12, 0)</f>
        <v/>
      </c>
      <c r="L12" s="47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47">
        <f>IF(SHIPMENT_BUILDER!$H$13=1, SHIPMENT_BUILDER!$E$13, 0)</f>
        <v/>
      </c>
      <c r="F13" s="47">
        <f>IF(SHIPMENT_BUILDER!$H$13=2, SHIPMENT_BUILDER!$E$13, 0)</f>
        <v/>
      </c>
      <c r="G13" s="47">
        <f>IF(SHIPMENT_BUILDER!$H$13=3, SHIPMENT_BUILDER!$E$13, 0)</f>
        <v/>
      </c>
      <c r="H13" s="47">
        <f>IF(SHIPMENT_BUILDER!$H$13=4, SHIPMENT_BUILDER!$E$13, 0)</f>
        <v/>
      </c>
      <c r="I13" s="47">
        <f>IF(SHIPMENT_BUILDER!$H$13=5, SHIPMENT_BUILDER!$E$13, 0)</f>
        <v/>
      </c>
      <c r="J13" s="47">
        <f>IF(SHIPMENT_BUILDER!$H$13=6, SHIPMENT_BUILDER!$E$13, 0)</f>
        <v/>
      </c>
      <c r="K13" s="47">
        <f>IF(SHIPMENT_BUILDER!$H$13=7, SHIPMENT_BUILDER!$E$13, 0)</f>
        <v/>
      </c>
      <c r="L13" s="47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47">
        <f>IF(SHIPMENT_BUILDER!$H$14=1, SHIPMENT_BUILDER!$E$14, 0)</f>
        <v/>
      </c>
      <c r="F14" s="47">
        <f>IF(SHIPMENT_BUILDER!$H$14=2, SHIPMENT_BUILDER!$E$14, 0)</f>
        <v/>
      </c>
      <c r="G14" s="47">
        <f>IF(SHIPMENT_BUILDER!$H$14=3, SHIPMENT_BUILDER!$E$14, 0)</f>
        <v/>
      </c>
      <c r="H14" s="47">
        <f>IF(SHIPMENT_BUILDER!$H$14=4, SHIPMENT_BUILDER!$E$14, 0)</f>
        <v/>
      </c>
      <c r="I14" s="47">
        <f>IF(SHIPMENT_BUILDER!$H$14=5, SHIPMENT_BUILDER!$E$14, 0)</f>
        <v/>
      </c>
      <c r="J14" s="47">
        <f>IF(SHIPMENT_BUILDER!$H$14=6, SHIPMENT_BUILDER!$E$14, 0)</f>
        <v/>
      </c>
      <c r="K14" s="47">
        <f>IF(SHIPMENT_BUILDER!$H$14=7, SHIPMENT_BUILDER!$E$14, 0)</f>
        <v/>
      </c>
      <c r="L14" s="47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47">
        <f>IF(SHIPMENT_BUILDER!$H$15=1, SHIPMENT_BUILDER!$E$15, 0)</f>
        <v/>
      </c>
      <c r="F15" s="47">
        <f>IF(SHIPMENT_BUILDER!$H$15=2, SHIPMENT_BUILDER!$E$15, 0)</f>
        <v/>
      </c>
      <c r="G15" s="47">
        <f>IF(SHIPMENT_BUILDER!$H$15=3, SHIPMENT_BUILDER!$E$15, 0)</f>
        <v/>
      </c>
      <c r="H15" s="47">
        <f>IF(SHIPMENT_BUILDER!$H$15=4, SHIPMENT_BUILDER!$E$15, 0)</f>
        <v/>
      </c>
      <c r="I15" s="47">
        <f>IF(SHIPMENT_BUILDER!$H$15=5, SHIPMENT_BUILDER!$E$15, 0)</f>
        <v/>
      </c>
      <c r="J15" s="47">
        <f>IF(SHIPMENT_BUILDER!$H$15=6, SHIPMENT_BUILDER!$E$15, 0)</f>
        <v/>
      </c>
      <c r="K15" s="47">
        <f>IF(SHIPMENT_BUILDER!$H$15=7, SHIPMENT_BUILDER!$E$15, 0)</f>
        <v/>
      </c>
      <c r="L15" s="47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47">
        <f>IF(SHIPMENT_BUILDER!$H$16=1, SHIPMENT_BUILDER!$E$16, 0)</f>
        <v/>
      </c>
      <c r="F16" s="47">
        <f>IF(SHIPMENT_BUILDER!$H$16=2, SHIPMENT_BUILDER!$E$16, 0)</f>
        <v/>
      </c>
      <c r="G16" s="47">
        <f>IF(SHIPMENT_BUILDER!$H$16=3, SHIPMENT_BUILDER!$E$16, 0)</f>
        <v/>
      </c>
      <c r="H16" s="47">
        <f>IF(SHIPMENT_BUILDER!$H$16=4, SHIPMENT_BUILDER!$E$16, 0)</f>
        <v/>
      </c>
      <c r="I16" s="47">
        <f>IF(SHIPMENT_BUILDER!$H$16=5, SHIPMENT_BUILDER!$E$16, 0)</f>
        <v/>
      </c>
      <c r="J16" s="47">
        <f>IF(SHIPMENT_BUILDER!$H$16=6, SHIPMENT_BUILDER!$E$16, 0)</f>
        <v/>
      </c>
      <c r="K16" s="47">
        <f>IF(SHIPMENT_BUILDER!$H$16=7, SHIPMENT_BUILDER!$E$16, 0)</f>
        <v/>
      </c>
      <c r="L16" s="47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47">
        <f>IF(SHIPMENT_BUILDER!$H$17=1, SHIPMENT_BUILDER!$E$17, 0)</f>
        <v/>
      </c>
      <c r="F17" s="47">
        <f>IF(SHIPMENT_BUILDER!$H$17=2, SHIPMENT_BUILDER!$E$17, 0)</f>
        <v/>
      </c>
      <c r="G17" s="47">
        <f>IF(SHIPMENT_BUILDER!$H$17=3, SHIPMENT_BUILDER!$E$17, 0)</f>
        <v/>
      </c>
      <c r="H17" s="47">
        <f>IF(SHIPMENT_BUILDER!$H$17=4, SHIPMENT_BUILDER!$E$17, 0)</f>
        <v/>
      </c>
      <c r="I17" s="47">
        <f>IF(SHIPMENT_BUILDER!$H$17=5, SHIPMENT_BUILDER!$E$17, 0)</f>
        <v/>
      </c>
      <c r="J17" s="47">
        <f>IF(SHIPMENT_BUILDER!$H$17=6, SHIPMENT_BUILDER!$E$17, 0)</f>
        <v/>
      </c>
      <c r="K17" s="47">
        <f>IF(SHIPMENT_BUILDER!$H$17=7, SHIPMENT_BUILDER!$E$17, 0)</f>
        <v/>
      </c>
      <c r="L17" s="47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47">
        <f>IF(SHIPMENT_BUILDER!$H$18=1, SHIPMENT_BUILDER!$E$18, 0)</f>
        <v/>
      </c>
      <c r="F18" s="47">
        <f>IF(SHIPMENT_BUILDER!$H$18=2, SHIPMENT_BUILDER!$E$18, 0)</f>
        <v/>
      </c>
      <c r="G18" s="47">
        <f>IF(SHIPMENT_BUILDER!$H$18=3, SHIPMENT_BUILDER!$E$18, 0)</f>
        <v/>
      </c>
      <c r="H18" s="47">
        <f>IF(SHIPMENT_BUILDER!$H$18=4, SHIPMENT_BUILDER!$E$18, 0)</f>
        <v/>
      </c>
      <c r="I18" s="47">
        <f>IF(SHIPMENT_BUILDER!$H$18=5, SHIPMENT_BUILDER!$E$18, 0)</f>
        <v/>
      </c>
      <c r="J18" s="47">
        <f>IF(SHIPMENT_BUILDER!$H$18=6, SHIPMENT_BUILDER!$E$18, 0)</f>
        <v/>
      </c>
      <c r="K18" s="47">
        <f>IF(SHIPMENT_BUILDER!$H$18=7, SHIPMENT_BUILDER!$E$18, 0)</f>
        <v/>
      </c>
      <c r="L18" s="47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47">
        <f>IF(SHIPMENT_BUILDER!$H$19=1, SHIPMENT_BUILDER!$E$19, 0)</f>
        <v/>
      </c>
      <c r="F19" s="47">
        <f>IF(SHIPMENT_BUILDER!$H$19=2, SHIPMENT_BUILDER!$E$19, 0)</f>
        <v/>
      </c>
      <c r="G19" s="47">
        <f>IF(SHIPMENT_BUILDER!$H$19=3, SHIPMENT_BUILDER!$E$19, 0)</f>
        <v/>
      </c>
      <c r="H19" s="47">
        <f>IF(SHIPMENT_BUILDER!$H$19=4, SHIPMENT_BUILDER!$E$19, 0)</f>
        <v/>
      </c>
      <c r="I19" s="47">
        <f>IF(SHIPMENT_BUILDER!$H$19=5, SHIPMENT_BUILDER!$E$19, 0)</f>
        <v/>
      </c>
      <c r="J19" s="47">
        <f>IF(SHIPMENT_BUILDER!$H$19=6, SHIPMENT_BUILDER!$E$19, 0)</f>
        <v/>
      </c>
      <c r="K19" s="47">
        <f>IF(SHIPMENT_BUILDER!$H$19=7, SHIPMENT_BUILDER!$E$19, 0)</f>
        <v/>
      </c>
      <c r="L19" s="47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47">
        <f>IF(SHIPMENT_BUILDER!$H$20=1, SHIPMENT_BUILDER!$E$20, 0)</f>
        <v/>
      </c>
      <c r="F20" s="47">
        <f>IF(SHIPMENT_BUILDER!$H$20=2, SHIPMENT_BUILDER!$E$20, 0)</f>
        <v/>
      </c>
      <c r="G20" s="47">
        <f>IF(SHIPMENT_BUILDER!$H$20=3, SHIPMENT_BUILDER!$E$20, 0)</f>
        <v/>
      </c>
      <c r="H20" s="47">
        <f>IF(SHIPMENT_BUILDER!$H$20=4, SHIPMENT_BUILDER!$E$20, 0)</f>
        <v/>
      </c>
      <c r="I20" s="47">
        <f>IF(SHIPMENT_BUILDER!$H$20=5, SHIPMENT_BUILDER!$E$20, 0)</f>
        <v/>
      </c>
      <c r="J20" s="47">
        <f>IF(SHIPMENT_BUILDER!$H$20=6, SHIPMENT_BUILDER!$E$20, 0)</f>
        <v/>
      </c>
      <c r="K20" s="47">
        <f>IF(SHIPMENT_BUILDER!$H$20=7, SHIPMENT_BUILDER!$E$20, 0)</f>
        <v/>
      </c>
      <c r="L20" s="47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47">
        <f>IF(SHIPMENT_BUILDER!$H$21=1, SHIPMENT_BUILDER!$E$21, 0)</f>
        <v/>
      </c>
      <c r="F21" s="47">
        <f>IF(SHIPMENT_BUILDER!$H$21=2, SHIPMENT_BUILDER!$E$21, 0)</f>
        <v/>
      </c>
      <c r="G21" s="47">
        <f>IF(SHIPMENT_BUILDER!$H$21=3, SHIPMENT_BUILDER!$E$21, 0)</f>
        <v/>
      </c>
      <c r="H21" s="47">
        <f>IF(SHIPMENT_BUILDER!$H$21=4, SHIPMENT_BUILDER!$E$21, 0)</f>
        <v/>
      </c>
      <c r="I21" s="47">
        <f>IF(SHIPMENT_BUILDER!$H$21=5, SHIPMENT_BUILDER!$E$21, 0)</f>
        <v/>
      </c>
      <c r="J21" s="47">
        <f>IF(SHIPMENT_BUILDER!$H$21=6, SHIPMENT_BUILDER!$E$21, 0)</f>
        <v/>
      </c>
      <c r="K21" s="47">
        <f>IF(SHIPMENT_BUILDER!$H$21=7, SHIPMENT_BUILDER!$E$21, 0)</f>
        <v/>
      </c>
      <c r="L21" s="47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47">
        <f>IF(SHIPMENT_BUILDER!$H$22=1, SHIPMENT_BUILDER!$E$22, 0)</f>
        <v/>
      </c>
      <c r="F22" s="47">
        <f>IF(SHIPMENT_BUILDER!$H$22=2, SHIPMENT_BUILDER!$E$22, 0)</f>
        <v/>
      </c>
      <c r="G22" s="47">
        <f>IF(SHIPMENT_BUILDER!$H$22=3, SHIPMENT_BUILDER!$E$22, 0)</f>
        <v/>
      </c>
      <c r="H22" s="47">
        <f>IF(SHIPMENT_BUILDER!$H$22=4, SHIPMENT_BUILDER!$E$22, 0)</f>
        <v/>
      </c>
      <c r="I22" s="47">
        <f>IF(SHIPMENT_BUILDER!$H$22=5, SHIPMENT_BUILDER!$E$22, 0)</f>
        <v/>
      </c>
      <c r="J22" s="47">
        <f>IF(SHIPMENT_BUILDER!$H$22=6, SHIPMENT_BUILDER!$E$22, 0)</f>
        <v/>
      </c>
      <c r="K22" s="47">
        <f>IF(SHIPMENT_BUILDER!$H$22=7, SHIPMENT_BUILDER!$E$22, 0)</f>
        <v/>
      </c>
      <c r="L22" s="47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47">
        <f>IF(SHIPMENT_BUILDER!$H$23=1, SHIPMENT_BUILDER!$E$23, 0)</f>
        <v/>
      </c>
      <c r="F23" s="47">
        <f>IF(SHIPMENT_BUILDER!$H$23=2, SHIPMENT_BUILDER!$E$23, 0)</f>
        <v/>
      </c>
      <c r="G23" s="47">
        <f>IF(SHIPMENT_BUILDER!$H$23=3, SHIPMENT_BUILDER!$E$23, 0)</f>
        <v/>
      </c>
      <c r="H23" s="47">
        <f>IF(SHIPMENT_BUILDER!$H$23=4, SHIPMENT_BUILDER!$E$23, 0)</f>
        <v/>
      </c>
      <c r="I23" s="47">
        <f>IF(SHIPMENT_BUILDER!$H$23=5, SHIPMENT_BUILDER!$E$23, 0)</f>
        <v/>
      </c>
      <c r="J23" s="47">
        <f>IF(SHIPMENT_BUILDER!$H$23=6, SHIPMENT_BUILDER!$E$23, 0)</f>
        <v/>
      </c>
      <c r="K23" s="47">
        <f>IF(SHIPMENT_BUILDER!$H$23=7, SHIPMENT_BUILDER!$E$23, 0)</f>
        <v/>
      </c>
      <c r="L23" s="47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47">
        <f>IF(SHIPMENT_BUILDER!$H$24=1, SHIPMENT_BUILDER!$E$24, 0)</f>
        <v/>
      </c>
      <c r="F24" s="47">
        <f>IF(SHIPMENT_BUILDER!$H$24=2, SHIPMENT_BUILDER!$E$24, 0)</f>
        <v/>
      </c>
      <c r="G24" s="47">
        <f>IF(SHIPMENT_BUILDER!$H$24=3, SHIPMENT_BUILDER!$E$24, 0)</f>
        <v/>
      </c>
      <c r="H24" s="47">
        <f>IF(SHIPMENT_BUILDER!$H$24=4, SHIPMENT_BUILDER!$E$24, 0)</f>
        <v/>
      </c>
      <c r="I24" s="47">
        <f>IF(SHIPMENT_BUILDER!$H$24=5, SHIPMENT_BUILDER!$E$24, 0)</f>
        <v/>
      </c>
      <c r="J24" s="47">
        <f>IF(SHIPMENT_BUILDER!$H$24=6, SHIPMENT_BUILDER!$E$24, 0)</f>
        <v/>
      </c>
      <c r="K24" s="47">
        <f>IF(SHIPMENT_BUILDER!$H$24=7, SHIPMENT_BUILDER!$E$24, 0)</f>
        <v/>
      </c>
      <c r="L24" s="47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47">
        <f>IF(SHIPMENT_BUILDER!$H$25=1, SHIPMENT_BUILDER!$E$25, 0)</f>
        <v/>
      </c>
      <c r="F25" s="47">
        <f>IF(SHIPMENT_BUILDER!$H$25=2, SHIPMENT_BUILDER!$E$25, 0)</f>
        <v/>
      </c>
      <c r="G25" s="47">
        <f>IF(SHIPMENT_BUILDER!$H$25=3, SHIPMENT_BUILDER!$E$25, 0)</f>
        <v/>
      </c>
      <c r="H25" s="47">
        <f>IF(SHIPMENT_BUILDER!$H$25=4, SHIPMENT_BUILDER!$E$25, 0)</f>
        <v/>
      </c>
      <c r="I25" s="47">
        <f>IF(SHIPMENT_BUILDER!$H$25=5, SHIPMENT_BUILDER!$E$25, 0)</f>
        <v/>
      </c>
      <c r="J25" s="47">
        <f>IF(SHIPMENT_BUILDER!$H$25=6, SHIPMENT_BUILDER!$E$25, 0)</f>
        <v/>
      </c>
      <c r="K25" s="47">
        <f>IF(SHIPMENT_BUILDER!$H$25=7, SHIPMENT_BUILDER!$E$25, 0)</f>
        <v/>
      </c>
      <c r="L25" s="47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2025-12-31T16:19:41Z</dcterms:created>
  <dcterms:modified xsi:type="dcterms:W3CDTF">2025-12-31T16:19:41Z</dcterms:modified>
</cp:coreProperties>
</file>