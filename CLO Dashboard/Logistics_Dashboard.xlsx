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CONFIG" sheetId="1" state="visible" r:id="rId1"/>
    <sheet name="INVENTORY_TETRIS" sheetId="2" state="visible" r:id="rId2"/>
    <sheet name="SHIPMENT_BUILDER" sheetId="3" state="visible" r:id="rId3"/>
    <sheet name="UPLOAD_READY_LOG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2F5496"/>
      <sz val="12"/>
    </font>
    <font>
      <b val="1"/>
      <color rgb="00FFFFFF"/>
    </font>
    <font>
      <color rgb="00FFFFFF"/>
    </font>
    <font>
      <b val="1"/>
      <color rgb="00FFFFFF"/>
      <sz val="11"/>
    </font>
    <font>
      <b val="1"/>
    </font>
    <font>
      <b val="1"/>
      <color rgb="00C00000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E480E"/>
        <bgColor rgb="009E480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5" fillId="4" borderId="1" pivotButton="0" quotePrefix="0" xfId="0"/>
    <xf numFmtId="0" fontId="0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6" fillId="4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10" borderId="1" pivotButton="0" quotePrefix="0" xfId="0"/>
    <xf numFmtId="0" fontId="6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8" fillId="0" borderId="0" pivotButton="0" quotePrefix="0" xfId="0"/>
    <xf numFmtId="0" fontId="0" fillId="1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E4DFEC"/>
          <b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2" customWidth="1" min="4" max="4"/>
  </cols>
  <sheetData>
    <row r="1">
      <c r="A1" s="1" t="inlineStr">
        <is>
          <t>ROUTE CONFIGURATION - Transport Physics</t>
        </is>
      </c>
    </row>
    <row r="2">
      <c r="A2" s="2" t="inlineStr">
        <is>
          <t>Define transport modes and warehouse costs. Yellow cells are editable.</t>
        </is>
      </c>
    </row>
    <row r="4">
      <c r="A4" s="3" t="inlineStr">
        <is>
          <t>TABLE 1: TRANSPORT MODES</t>
        </is>
      </c>
    </row>
    <row r="5">
      <c r="A5" s="4" t="inlineStr">
        <is>
          <t>Mode</t>
        </is>
      </c>
      <c r="B5" s="4" t="inlineStr">
        <is>
          <t>Lead Time (Fortnights)</t>
        </is>
      </c>
      <c r="C5" s="4" t="inlineStr">
        <is>
          <t>Cost Per Unit ($)</t>
        </is>
      </c>
    </row>
    <row r="6">
      <c r="A6" s="5" t="inlineStr">
        <is>
          <t>Train</t>
        </is>
      </c>
      <c r="B6" s="6" t="n">
        <v>0</v>
      </c>
      <c r="C6" s="7" t="n">
        <v>0</v>
      </c>
    </row>
    <row r="7">
      <c r="A7" s="5" t="inlineStr">
        <is>
          <t>Truck</t>
        </is>
      </c>
      <c r="B7" s="6" t="n">
        <v>0</v>
      </c>
      <c r="C7" s="7" t="n">
        <v>0</v>
      </c>
    </row>
    <row r="8">
      <c r="A8" s="5" t="inlineStr">
        <is>
          <t>Plane</t>
        </is>
      </c>
      <c r="B8" s="6" t="n">
        <v>0</v>
      </c>
      <c r="C8" s="7" t="n">
        <v>0</v>
      </c>
    </row>
    <row r="11">
      <c r="A11" s="3" t="inlineStr">
        <is>
          <t>TABLE 2: WAREHOUSE CONFIGURATION</t>
        </is>
      </c>
    </row>
    <row r="12">
      <c r="A12" s="4" t="inlineStr">
        <is>
          <t>Zone</t>
        </is>
      </c>
      <c r="B12" s="4" t="inlineStr">
        <is>
          <t>Current Capacity</t>
        </is>
      </c>
      <c r="C12" s="4" t="inlineStr">
        <is>
          <t>Cost Per Module</t>
        </is>
      </c>
      <c r="D12" s="4" t="inlineStr">
        <is>
          <t>Capacity Per Module</t>
        </is>
      </c>
    </row>
    <row r="13">
      <c r="A13" s="8" t="inlineStr">
        <is>
          <t>Center</t>
        </is>
      </c>
      <c r="B13" s="9" t="n">
        <v>4800</v>
      </c>
      <c r="C13" s="7" t="n">
        <v>0</v>
      </c>
      <c r="D13" s="6" t="n">
        <v>0</v>
      </c>
    </row>
    <row r="14">
      <c r="A14" s="10" t="inlineStr">
        <is>
          <t>West</t>
        </is>
      </c>
      <c r="B14" s="9" t="n">
        <v>2500</v>
      </c>
      <c r="C14" s="7" t="n">
        <v>0</v>
      </c>
      <c r="D14" s="6" t="n">
        <v>0</v>
      </c>
    </row>
    <row r="15">
      <c r="A15" s="11" t="inlineStr">
        <is>
          <t>North</t>
        </is>
      </c>
      <c r="B15" s="9" t="n">
        <v>2000</v>
      </c>
      <c r="C15" s="7" t="n">
        <v>0</v>
      </c>
      <c r="D15" s="6" t="n">
        <v>0</v>
      </c>
    </row>
    <row r="16">
      <c r="A16" s="12" t="inlineStr">
        <is>
          <t>East</t>
        </is>
      </c>
      <c r="B16" s="9" t="n">
        <v>0</v>
      </c>
      <c r="C16" s="7" t="n">
        <v>0</v>
      </c>
      <c r="D16" s="6" t="n">
        <v>0</v>
      </c>
    </row>
    <row r="17">
      <c r="A17" s="13" t="inlineStr">
        <is>
          <t>South</t>
        </is>
      </c>
      <c r="B17" s="9" t="n">
        <v>0</v>
      </c>
      <c r="C17" s="7" t="n">
        <v>0</v>
      </c>
      <c r="D1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INVENTORY TETRIS - Zone-by-Zone Balance</t>
        </is>
      </c>
    </row>
    <row r="2">
      <c r="A2" s="2" t="inlineStr">
        <is>
          <t>Balance inventory using shipments. Watch for STOCKOUT (red) and OVERFLOW (purple) flags.</t>
        </is>
      </c>
    </row>
    <row r="4">
      <c r="A4" s="14" t="inlineStr">
        <is>
          <t>═══ CENTER ZONE (Capacity: 4,800) ═══</t>
        </is>
      </c>
    </row>
    <row r="5">
      <c r="A5" s="5" t="inlineStr">
        <is>
          <t>Opening Inventory</t>
        </is>
      </c>
      <c r="B5" s="9" t="n">
        <v>3410</v>
      </c>
      <c r="D5" s="5" t="inlineStr">
        <is>
          <t>Capacity</t>
        </is>
      </c>
      <c r="E5" s="9" t="n">
        <v>4800</v>
      </c>
      <c r="G5" s="5" t="inlineStr">
        <is>
          <t>Rent Modules?</t>
        </is>
      </c>
      <c r="H5" s="6" t="n">
        <v>0</v>
      </c>
    </row>
    <row r="7">
      <c r="A7" s="15" t="inlineStr">
        <is>
          <t>Fortnight</t>
        </is>
      </c>
      <c r="B7" s="15" t="inlineStr">
        <is>
          <t>Production</t>
        </is>
      </c>
      <c r="C7" s="15" t="inlineStr">
        <is>
          <t>Sales</t>
        </is>
      </c>
      <c r="D7" s="15" t="inlineStr">
        <is>
          <t>Outgoing</t>
        </is>
      </c>
      <c r="E7" s="15" t="inlineStr">
        <is>
          <t>Incoming</t>
        </is>
      </c>
      <c r="F7" s="15" t="inlineStr">
        <is>
          <t>Projected Inv</t>
        </is>
      </c>
      <c r="G7" s="15" t="inlineStr">
        <is>
          <t>Flag</t>
        </is>
      </c>
    </row>
    <row r="8">
      <c r="A8" s="5" t="inlineStr">
        <is>
          <t>FN1</t>
        </is>
      </c>
      <c r="B8" s="6" t="n">
        <v>0</v>
      </c>
      <c r="C8" s="6" t="n">
        <v>0</v>
      </c>
      <c r="D8" s="6" t="n">
        <v>0</v>
      </c>
      <c r="E8" s="6" t="n">
        <v>0</v>
      </c>
      <c r="F8" s="16">
        <f>$B$5+B8+E8-D8-C8</f>
        <v/>
      </c>
      <c r="G8" s="5">
        <f>IF(F8&lt;0,"STOCKOUT: SHIP HERE!",IF(F8&gt;$E$5+(H$5*ROUTE_CONFIG!$D$12),"OVERFLOW: RENT!","OK"))</f>
        <v/>
      </c>
    </row>
    <row r="9">
      <c r="A9" s="5" t="inlineStr">
        <is>
          <t>FN2</t>
        </is>
      </c>
      <c r="B9" s="6" t="n">
        <v>0</v>
      </c>
      <c r="C9" s="6" t="n">
        <v>0</v>
      </c>
      <c r="D9" s="6" t="n">
        <v>0</v>
      </c>
      <c r="E9" s="6" t="n">
        <v>0</v>
      </c>
      <c r="F9" s="16">
        <f>F8+B9+E9-D9-C9</f>
        <v/>
      </c>
      <c r="G9" s="5">
        <f>IF(F9&lt;0,"STOCKOUT: SHIP HERE!",IF(F9&gt;$E$5+(H$5*ROUTE_CONFIG!$D$12),"OVERFLOW: RENT!","OK"))</f>
        <v/>
      </c>
    </row>
    <row r="10">
      <c r="A10" s="5" t="inlineStr">
        <is>
          <t>FN3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16">
        <f>F9+B10+E10-D10-C10</f>
        <v/>
      </c>
      <c r="G10" s="5">
        <f>IF(F10&lt;0,"STOCKOUT: SHIP HERE!",IF(F10&gt;$E$5+(H$5*ROUTE_CONFIG!$D$12),"OVERFLOW: RENT!","OK"))</f>
        <v/>
      </c>
    </row>
    <row r="11">
      <c r="A11" s="5" t="inlineStr">
        <is>
          <t>FN4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16">
        <f>F10+B11+E11-D11-C11</f>
        <v/>
      </c>
      <c r="G11" s="5">
        <f>IF(F11&lt;0,"STOCKOUT: SHIP HERE!",IF(F11&gt;$E$5+(H$5*ROUTE_CONFIG!$D$12),"OVERFLOW: RENT!","OK"))</f>
        <v/>
      </c>
    </row>
    <row r="12">
      <c r="A12" s="5" t="inlineStr">
        <is>
          <t>FN5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16">
        <f>F11+B12+E12-D12-C12</f>
        <v/>
      </c>
      <c r="G12" s="5">
        <f>IF(F12&lt;0,"STOCKOUT: SHIP HERE!",IF(F12&gt;$E$5+(H$5*ROUTE_CONFIG!$D$12),"OVERFLOW: RENT!","OK"))</f>
        <v/>
      </c>
    </row>
    <row r="13">
      <c r="A13" s="5" t="inlineStr">
        <is>
          <t>FN6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16">
        <f>F12+B13+E13-D13-C13</f>
        <v/>
      </c>
      <c r="G13" s="5">
        <f>IF(F13&lt;0,"STOCKOUT: SHIP HERE!",IF(F13&gt;$E$5+(H$5*ROUTE_CONFIG!$D$12),"OVERFLOW: RENT!","OK"))</f>
        <v/>
      </c>
    </row>
    <row r="14">
      <c r="A14" s="5" t="inlineStr">
        <is>
          <t>FN7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16">
        <f>F13+B14+E14-D14-C14</f>
        <v/>
      </c>
      <c r="G14" s="5">
        <f>IF(F14&lt;0,"STOCKOUT: SHIP HERE!",IF(F14&gt;$E$5+(H$5*ROUTE_CONFIG!$D$12),"OVERFLOW: RENT!","OK"))</f>
        <v/>
      </c>
    </row>
    <row r="15">
      <c r="A15" s="5" t="inlineStr">
        <is>
          <t>FN8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16">
        <f>F14+B15+E15-D15-C15</f>
        <v/>
      </c>
      <c r="G15" s="5">
        <f>IF(F15&lt;0,"STOCKOUT: SHIP HERE!",IF(F15&gt;$E$5+(H$5*ROUTE_CONFIG!$D$12),"OVERFLOW: RENT!","OK"))</f>
        <v/>
      </c>
    </row>
    <row r="18">
      <c r="A18" s="17" t="inlineStr">
        <is>
          <t>═══ WEST ZONE (Capacity: 2,500) ═══</t>
        </is>
      </c>
    </row>
    <row r="19">
      <c r="A19" s="5" t="inlineStr">
        <is>
          <t>Opening Inventory</t>
        </is>
      </c>
      <c r="B19" s="9" t="n">
        <v>1886</v>
      </c>
      <c r="D19" s="5" t="inlineStr">
        <is>
          <t>Capacity</t>
        </is>
      </c>
      <c r="E19" s="9" t="n">
        <v>2500</v>
      </c>
      <c r="G19" s="5" t="inlineStr">
        <is>
          <t>Rent Modules?</t>
        </is>
      </c>
      <c r="H19" s="6" t="n">
        <v>0</v>
      </c>
    </row>
    <row r="21">
      <c r="A21" s="18" t="inlineStr">
        <is>
          <t>Fortnight</t>
        </is>
      </c>
      <c r="B21" s="18" t="inlineStr">
        <is>
          <t>Production</t>
        </is>
      </c>
      <c r="C21" s="18" t="inlineStr">
        <is>
          <t>Sales</t>
        </is>
      </c>
      <c r="D21" s="18" t="inlineStr">
        <is>
          <t>Outgoing</t>
        </is>
      </c>
      <c r="E21" s="18" t="inlineStr">
        <is>
          <t>Incoming</t>
        </is>
      </c>
      <c r="F21" s="18" t="inlineStr">
        <is>
          <t>Projected Inv</t>
        </is>
      </c>
      <c r="G21" s="18" t="inlineStr">
        <is>
          <t>Flag</t>
        </is>
      </c>
    </row>
    <row r="22">
      <c r="A22" s="5" t="inlineStr">
        <is>
          <t>FN1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16">
        <f>$B$19+B22+E22-D22-C22</f>
        <v/>
      </c>
      <c r="G22" s="5">
        <f>IF(F22&lt;0,"STOCKOUT: SHIP HERE!",IF(F22&gt;$E$19+(H$19*ROUTE_CONFIG!$D$13),"OVERFLOW: RENT!","OK"))</f>
        <v/>
      </c>
    </row>
    <row r="23">
      <c r="A23" s="5" t="inlineStr">
        <is>
          <t>FN2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16">
        <f>F22+B23+E23-D23-C23</f>
        <v/>
      </c>
      <c r="G23" s="5">
        <f>IF(F23&lt;0,"STOCKOUT: SHIP HERE!",IF(F23&gt;$E$19+(H$19*ROUTE_CONFIG!$D$13),"OVERFLOW: RENT!","OK"))</f>
        <v/>
      </c>
    </row>
    <row r="24">
      <c r="A24" s="5" t="inlineStr">
        <is>
          <t>FN3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16">
        <f>F23+B24+E24-D24-C24</f>
        <v/>
      </c>
      <c r="G24" s="5">
        <f>IF(F24&lt;0,"STOCKOUT: SHIP HERE!",IF(F24&gt;$E$19+(H$19*ROUTE_CONFIG!$D$13),"OVERFLOW: RENT!","OK"))</f>
        <v/>
      </c>
    </row>
    <row r="25">
      <c r="A25" s="5" t="inlineStr">
        <is>
          <t>FN4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16">
        <f>F24+B25+E25-D25-C25</f>
        <v/>
      </c>
      <c r="G25" s="5">
        <f>IF(F25&lt;0,"STOCKOUT: SHIP HERE!",IF(F25&gt;$E$19+(H$19*ROUTE_CONFIG!$D$13),"OVERFLOW: RENT!","OK"))</f>
        <v/>
      </c>
    </row>
    <row r="26">
      <c r="A26" s="5" t="inlineStr">
        <is>
          <t>FN5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16">
        <f>F25+B26+E26-D26-C26</f>
        <v/>
      </c>
      <c r="G26" s="5">
        <f>IF(F26&lt;0,"STOCKOUT: SHIP HERE!",IF(F26&gt;$E$19+(H$19*ROUTE_CONFIG!$D$13),"OVERFLOW: RENT!","OK"))</f>
        <v/>
      </c>
    </row>
    <row r="27">
      <c r="A27" s="5" t="inlineStr">
        <is>
          <t>FN6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16">
        <f>F26+B27+E27-D27-C27</f>
        <v/>
      </c>
      <c r="G27" s="5">
        <f>IF(F27&lt;0,"STOCKOUT: SHIP HERE!",IF(F27&gt;$E$19+(H$19*ROUTE_CONFIG!$D$13),"OVERFLOW: RENT!","OK"))</f>
        <v/>
      </c>
    </row>
    <row r="28">
      <c r="A28" s="5" t="inlineStr">
        <is>
          <t>FN7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16">
        <f>F27+B28+E28-D28-C28</f>
        <v/>
      </c>
      <c r="G28" s="5">
        <f>IF(F28&lt;0,"STOCKOUT: SHIP HERE!",IF(F28&gt;$E$19+(H$19*ROUTE_CONFIG!$D$13),"OVERFLOW: RENT!","OK"))</f>
        <v/>
      </c>
    </row>
    <row r="29">
      <c r="A29" s="5" t="inlineStr">
        <is>
          <t>FN8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16">
        <f>F28+B29+E29-D29-C29</f>
        <v/>
      </c>
      <c r="G29" s="5">
        <f>IF(F29&lt;0,"STOCKOUT: SHIP HERE!",IF(F29&gt;$E$19+(H$19*ROUTE_CONFIG!$D$13),"OVERFLOW: RENT!","OK"))</f>
        <v/>
      </c>
    </row>
    <row r="32">
      <c r="A32" s="19" t="inlineStr">
        <is>
          <t>═══ NORTH ZONE (Capacity: 2,000) ═══</t>
        </is>
      </c>
    </row>
    <row r="33">
      <c r="A33" s="5" t="inlineStr">
        <is>
          <t>Opening Inventory</t>
        </is>
      </c>
      <c r="B33" s="9" t="n">
        <v>1720</v>
      </c>
      <c r="D33" s="5" t="inlineStr">
        <is>
          <t>Capacity</t>
        </is>
      </c>
      <c r="E33" s="9" t="n">
        <v>2000</v>
      </c>
      <c r="G33" s="5" t="inlineStr">
        <is>
          <t>Rent Modules?</t>
        </is>
      </c>
      <c r="H33" s="6" t="n">
        <v>0</v>
      </c>
    </row>
    <row r="35">
      <c r="A35" s="20" t="inlineStr">
        <is>
          <t>Fortnight</t>
        </is>
      </c>
      <c r="B35" s="20" t="inlineStr">
        <is>
          <t>Production</t>
        </is>
      </c>
      <c r="C35" s="20" t="inlineStr">
        <is>
          <t>Sales</t>
        </is>
      </c>
      <c r="D35" s="20" t="inlineStr">
        <is>
          <t>Outgoing</t>
        </is>
      </c>
      <c r="E35" s="20" t="inlineStr">
        <is>
          <t>Incoming</t>
        </is>
      </c>
      <c r="F35" s="20" t="inlineStr">
        <is>
          <t>Projected Inv</t>
        </is>
      </c>
      <c r="G35" s="20" t="inlineStr">
        <is>
          <t>Flag</t>
        </is>
      </c>
    </row>
    <row r="36">
      <c r="A36" s="5" t="inlineStr">
        <is>
          <t>FN1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16">
        <f>$B$33+B36+E36-D36-C36</f>
        <v/>
      </c>
      <c r="G36" s="5">
        <f>IF(F36&lt;0,"STOCKOUT: SHIP HERE!",IF(F36&gt;$E$33+(H$33*ROUTE_CONFIG!$D$14),"OVERFLOW: RENT!","OK"))</f>
        <v/>
      </c>
    </row>
    <row r="37">
      <c r="A37" s="5" t="inlineStr">
        <is>
          <t>FN2</t>
        </is>
      </c>
      <c r="B37" s="6" t="n">
        <v>0</v>
      </c>
      <c r="C37" s="6" t="n">
        <v>0</v>
      </c>
      <c r="D37" s="6" t="n">
        <v>0</v>
      </c>
      <c r="E37" s="6" t="n">
        <v>0</v>
      </c>
      <c r="F37" s="16">
        <f>F36+B37+E37-D37-C37</f>
        <v/>
      </c>
      <c r="G37" s="5">
        <f>IF(F37&lt;0,"STOCKOUT: SHIP HERE!",IF(F37&gt;$E$33+(H$33*ROUTE_CONFIG!$D$14),"OVERFLOW: RENT!","OK"))</f>
        <v/>
      </c>
    </row>
    <row r="38">
      <c r="A38" s="5" t="inlineStr">
        <is>
          <t>FN3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16">
        <f>F37+B38+E38-D38-C38</f>
        <v/>
      </c>
      <c r="G38" s="5">
        <f>IF(F38&lt;0,"STOCKOUT: SHIP HERE!",IF(F38&gt;$E$33+(H$33*ROUTE_CONFIG!$D$14),"OVERFLOW: RENT!","OK"))</f>
        <v/>
      </c>
    </row>
    <row r="39">
      <c r="A39" s="5" t="inlineStr">
        <is>
          <t>FN4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16">
        <f>F38+B39+E39-D39-C39</f>
        <v/>
      </c>
      <c r="G39" s="5">
        <f>IF(F39&lt;0,"STOCKOUT: SHIP HERE!",IF(F39&gt;$E$33+(H$33*ROUTE_CONFIG!$D$14),"OVERFLOW: RENT!","OK"))</f>
        <v/>
      </c>
    </row>
    <row r="40">
      <c r="A40" s="5" t="inlineStr">
        <is>
          <t>FN5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16">
        <f>F39+B40+E40-D40-C40</f>
        <v/>
      </c>
      <c r="G40" s="5">
        <f>IF(F40&lt;0,"STOCKOUT: SHIP HERE!",IF(F40&gt;$E$33+(H$33*ROUTE_CONFIG!$D$14),"OVERFLOW: RENT!","OK"))</f>
        <v/>
      </c>
    </row>
    <row r="41">
      <c r="A41" s="5" t="inlineStr">
        <is>
          <t>FN6</t>
        </is>
      </c>
      <c r="B41" s="6" t="n">
        <v>0</v>
      </c>
      <c r="C41" s="6" t="n">
        <v>0</v>
      </c>
      <c r="D41" s="6" t="n">
        <v>0</v>
      </c>
      <c r="E41" s="6" t="n">
        <v>0</v>
      </c>
      <c r="F41" s="16">
        <f>F40+B41+E41-D41-C41</f>
        <v/>
      </c>
      <c r="G41" s="5">
        <f>IF(F41&lt;0,"STOCKOUT: SHIP HERE!",IF(F41&gt;$E$33+(H$33*ROUTE_CONFIG!$D$14),"OVERFLOW: RENT!","OK"))</f>
        <v/>
      </c>
    </row>
    <row r="42">
      <c r="A42" s="5" t="inlineStr">
        <is>
          <t>FN7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16">
        <f>F41+B42+E42-D42-C42</f>
        <v/>
      </c>
      <c r="G42" s="5">
        <f>IF(F42&lt;0,"STOCKOUT: SHIP HERE!",IF(F42&gt;$E$33+(H$33*ROUTE_CONFIG!$D$14),"OVERFLOW: RENT!","OK"))</f>
        <v/>
      </c>
    </row>
    <row r="43">
      <c r="A43" s="5" t="inlineStr">
        <is>
          <t>FN8</t>
        </is>
      </c>
      <c r="B43" s="6" t="n">
        <v>0</v>
      </c>
      <c r="C43" s="6" t="n">
        <v>0</v>
      </c>
      <c r="D43" s="6" t="n">
        <v>0</v>
      </c>
      <c r="E43" s="6" t="n">
        <v>0</v>
      </c>
      <c r="F43" s="16">
        <f>F42+B43+E43-D43-C43</f>
        <v/>
      </c>
      <c r="G43" s="5">
        <f>IF(F43&lt;0,"STOCKOUT: SHIP HERE!",IF(F43&gt;$E$33+(H$33*ROUTE_CONFIG!$D$14),"OVERFLOW: RENT!","OK"))</f>
        <v/>
      </c>
    </row>
    <row r="46">
      <c r="A46" s="21" t="inlineStr">
        <is>
          <t>═══ EAST ZONE (Capacity: 0) ═══</t>
        </is>
      </c>
    </row>
    <row r="47">
      <c r="A47" s="5" t="inlineStr">
        <is>
          <t>Opening Inventory</t>
        </is>
      </c>
      <c r="B47" s="9" t="n">
        <v>0</v>
      </c>
      <c r="D47" s="5" t="inlineStr">
        <is>
          <t>Capacity</t>
        </is>
      </c>
      <c r="E47" s="9" t="n">
        <v>0</v>
      </c>
      <c r="G47" s="5" t="inlineStr">
        <is>
          <t>Rent Modules?</t>
        </is>
      </c>
      <c r="H47" s="6" t="n">
        <v>0</v>
      </c>
    </row>
    <row r="49">
      <c r="A49" s="22" t="inlineStr">
        <is>
          <t>Fortnight</t>
        </is>
      </c>
      <c r="B49" s="22" t="inlineStr">
        <is>
          <t>Production</t>
        </is>
      </c>
      <c r="C49" s="22" t="inlineStr">
        <is>
          <t>Sales</t>
        </is>
      </c>
      <c r="D49" s="22" t="inlineStr">
        <is>
          <t>Outgoing</t>
        </is>
      </c>
      <c r="E49" s="22" t="inlineStr">
        <is>
          <t>Incoming</t>
        </is>
      </c>
      <c r="F49" s="22" t="inlineStr">
        <is>
          <t>Projected Inv</t>
        </is>
      </c>
      <c r="G49" s="22" t="inlineStr">
        <is>
          <t>Flag</t>
        </is>
      </c>
    </row>
    <row r="50">
      <c r="A50" s="5" t="inlineStr">
        <is>
          <t>FN1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16">
        <f>$B$47+B50+E50-D50-C50</f>
        <v/>
      </c>
      <c r="G50" s="5">
        <f>IF(F50&lt;0,"STOCKOUT: SHIP HERE!",IF(F50&gt;$E$47+(H$47*ROUTE_CONFIG!$D$15),"OVERFLOW: RENT!","OK"))</f>
        <v/>
      </c>
    </row>
    <row r="51">
      <c r="A51" s="5" t="inlineStr">
        <is>
          <t>FN2</t>
        </is>
      </c>
      <c r="B51" s="6" t="n">
        <v>0</v>
      </c>
      <c r="C51" s="6" t="n">
        <v>0</v>
      </c>
      <c r="D51" s="6" t="n">
        <v>0</v>
      </c>
      <c r="E51" s="6" t="n">
        <v>0</v>
      </c>
      <c r="F51" s="16">
        <f>F50+B51+E51-D51-C51</f>
        <v/>
      </c>
      <c r="G51" s="5">
        <f>IF(F51&lt;0,"STOCKOUT: SHIP HERE!",IF(F51&gt;$E$47+(H$47*ROUTE_CONFIG!$D$15),"OVERFLOW: RENT!","OK"))</f>
        <v/>
      </c>
    </row>
    <row r="52">
      <c r="A52" s="5" t="inlineStr">
        <is>
          <t>FN3</t>
        </is>
      </c>
      <c r="B52" s="6" t="n">
        <v>0</v>
      </c>
      <c r="C52" s="6" t="n">
        <v>0</v>
      </c>
      <c r="D52" s="6" t="n">
        <v>0</v>
      </c>
      <c r="E52" s="6" t="n">
        <v>0</v>
      </c>
      <c r="F52" s="16">
        <f>F51+B52+E52-D52-C52</f>
        <v/>
      </c>
      <c r="G52" s="5">
        <f>IF(F52&lt;0,"STOCKOUT: SHIP HERE!",IF(F52&gt;$E$47+(H$47*ROUTE_CONFIG!$D$15),"OVERFLOW: RENT!","OK"))</f>
        <v/>
      </c>
    </row>
    <row r="53">
      <c r="A53" s="5" t="inlineStr">
        <is>
          <t>FN4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16">
        <f>F52+B53+E53-D53-C53</f>
        <v/>
      </c>
      <c r="G53" s="5">
        <f>IF(F53&lt;0,"STOCKOUT: SHIP HERE!",IF(F53&gt;$E$47+(H$47*ROUTE_CONFIG!$D$15),"OVERFLOW: RENT!","OK"))</f>
        <v/>
      </c>
    </row>
    <row r="54">
      <c r="A54" s="5" t="inlineStr">
        <is>
          <t>FN5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16">
        <f>F53+B54+E54-D54-C54</f>
        <v/>
      </c>
      <c r="G54" s="5">
        <f>IF(F54&lt;0,"STOCKOUT: SHIP HERE!",IF(F54&gt;$E$47+(H$47*ROUTE_CONFIG!$D$15),"OVERFLOW: RENT!","OK"))</f>
        <v/>
      </c>
    </row>
    <row r="55">
      <c r="A55" s="5" t="inlineStr">
        <is>
          <t>FN6</t>
        </is>
      </c>
      <c r="B55" s="6" t="n">
        <v>0</v>
      </c>
      <c r="C55" s="6" t="n">
        <v>0</v>
      </c>
      <c r="D55" s="6" t="n">
        <v>0</v>
      </c>
      <c r="E55" s="6" t="n">
        <v>0</v>
      </c>
      <c r="F55" s="16">
        <f>F54+B55+E55-D55-C55</f>
        <v/>
      </c>
      <c r="G55" s="5">
        <f>IF(F55&lt;0,"STOCKOUT: SHIP HERE!",IF(F55&gt;$E$47+(H$47*ROUTE_CONFIG!$D$15),"OVERFLOW: RENT!","OK"))</f>
        <v/>
      </c>
    </row>
    <row r="56">
      <c r="A56" s="5" t="inlineStr">
        <is>
          <t>FN7</t>
        </is>
      </c>
      <c r="B56" s="6" t="n">
        <v>0</v>
      </c>
      <c r="C56" s="6" t="n">
        <v>0</v>
      </c>
      <c r="D56" s="6" t="n">
        <v>0</v>
      </c>
      <c r="E56" s="6" t="n">
        <v>0</v>
      </c>
      <c r="F56" s="16">
        <f>F55+B56+E56-D56-C56</f>
        <v/>
      </c>
      <c r="G56" s="5">
        <f>IF(F56&lt;0,"STOCKOUT: SHIP HERE!",IF(F56&gt;$E$47+(H$47*ROUTE_CONFIG!$D$15),"OVERFLOW: RENT!","OK"))</f>
        <v/>
      </c>
    </row>
    <row r="57">
      <c r="A57" s="5" t="inlineStr">
        <is>
          <t>FN8</t>
        </is>
      </c>
      <c r="B57" s="6" t="n">
        <v>0</v>
      </c>
      <c r="C57" s="6" t="n">
        <v>0</v>
      </c>
      <c r="D57" s="6" t="n">
        <v>0</v>
      </c>
      <c r="E57" s="6" t="n">
        <v>0</v>
      </c>
      <c r="F57" s="16">
        <f>F56+B57+E57-D57-C57</f>
        <v/>
      </c>
      <c r="G57" s="5">
        <f>IF(F57&lt;0,"STOCKOUT: SHIP HERE!",IF(F57&gt;$E$47+(H$47*ROUTE_CONFIG!$D$15),"OVERFLOW: RENT!","OK"))</f>
        <v/>
      </c>
    </row>
    <row r="60">
      <c r="A60" s="23" t="inlineStr">
        <is>
          <t>═══ SOUTH ZONE (Capacity: 0) ═══</t>
        </is>
      </c>
    </row>
    <row r="61">
      <c r="A61" s="5" t="inlineStr">
        <is>
          <t>Opening Inventory</t>
        </is>
      </c>
      <c r="B61" s="9" t="n">
        <v>0</v>
      </c>
      <c r="D61" s="5" t="inlineStr">
        <is>
          <t>Capacity</t>
        </is>
      </c>
      <c r="E61" s="9" t="n">
        <v>0</v>
      </c>
      <c r="G61" s="5" t="inlineStr">
        <is>
          <t>Rent Modules?</t>
        </is>
      </c>
      <c r="H61" s="6" t="n">
        <v>0</v>
      </c>
    </row>
    <row r="63">
      <c r="A63" s="24" t="inlineStr">
        <is>
          <t>Fortnight</t>
        </is>
      </c>
      <c r="B63" s="24" t="inlineStr">
        <is>
          <t>Production</t>
        </is>
      </c>
      <c r="C63" s="24" t="inlineStr">
        <is>
          <t>Sales</t>
        </is>
      </c>
      <c r="D63" s="24" t="inlineStr">
        <is>
          <t>Outgoing</t>
        </is>
      </c>
      <c r="E63" s="24" t="inlineStr">
        <is>
          <t>Incoming</t>
        </is>
      </c>
      <c r="F63" s="24" t="inlineStr">
        <is>
          <t>Projected Inv</t>
        </is>
      </c>
      <c r="G63" s="24" t="inlineStr">
        <is>
          <t>Flag</t>
        </is>
      </c>
    </row>
    <row r="64">
      <c r="A64" s="5" t="inlineStr">
        <is>
          <t>FN1</t>
        </is>
      </c>
      <c r="B64" s="6" t="n">
        <v>0</v>
      </c>
      <c r="C64" s="6" t="n">
        <v>0</v>
      </c>
      <c r="D64" s="6" t="n">
        <v>0</v>
      </c>
      <c r="E64" s="6" t="n">
        <v>0</v>
      </c>
      <c r="F64" s="16">
        <f>$B$61+B64+E64-D64-C64</f>
        <v/>
      </c>
      <c r="G64" s="5">
        <f>IF(F64&lt;0,"STOCKOUT: SHIP HERE!",IF(F64&gt;$E$61+(H$61*ROUTE_CONFIG!$D$16),"OVERFLOW: RENT!","OK"))</f>
        <v/>
      </c>
    </row>
    <row r="65">
      <c r="A65" s="5" t="inlineStr">
        <is>
          <t>FN2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16">
        <f>F64+B65+E65-D65-C65</f>
        <v/>
      </c>
      <c r="G65" s="5">
        <f>IF(F65&lt;0,"STOCKOUT: SHIP HERE!",IF(F65&gt;$E$61+(H$61*ROUTE_CONFIG!$D$16),"OVERFLOW: RENT!","OK"))</f>
        <v/>
      </c>
    </row>
    <row r="66">
      <c r="A66" s="5" t="inlineStr">
        <is>
          <t>FN3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16">
        <f>F65+B66+E66-D66-C66</f>
        <v/>
      </c>
      <c r="G66" s="5">
        <f>IF(F66&lt;0,"STOCKOUT: SHIP HERE!",IF(F66&gt;$E$61+(H$61*ROUTE_CONFIG!$D$16),"OVERFLOW: RENT!","OK"))</f>
        <v/>
      </c>
    </row>
    <row r="67">
      <c r="A67" s="5" t="inlineStr">
        <is>
          <t>FN4</t>
        </is>
      </c>
      <c r="B67" s="6" t="n">
        <v>0</v>
      </c>
      <c r="C67" s="6" t="n">
        <v>0</v>
      </c>
      <c r="D67" s="6" t="n">
        <v>0</v>
      </c>
      <c r="E67" s="6" t="n">
        <v>0</v>
      </c>
      <c r="F67" s="16">
        <f>F66+B67+E67-D67-C67</f>
        <v/>
      </c>
      <c r="G67" s="5">
        <f>IF(F67&lt;0,"STOCKOUT: SHIP HERE!",IF(F67&gt;$E$61+(H$61*ROUTE_CONFIG!$D$16),"OVERFLOW: RENT!","OK"))</f>
        <v/>
      </c>
    </row>
    <row r="68">
      <c r="A68" s="5" t="inlineStr">
        <is>
          <t>FN5</t>
        </is>
      </c>
      <c r="B68" s="6" t="n">
        <v>0</v>
      </c>
      <c r="C68" s="6" t="n">
        <v>0</v>
      </c>
      <c r="D68" s="6" t="n">
        <v>0</v>
      </c>
      <c r="E68" s="6" t="n">
        <v>0</v>
      </c>
      <c r="F68" s="16">
        <f>F67+B68+E68-D68-C68</f>
        <v/>
      </c>
      <c r="G68" s="5">
        <f>IF(F68&lt;0,"STOCKOUT: SHIP HERE!",IF(F68&gt;$E$61+(H$61*ROUTE_CONFIG!$D$16),"OVERFLOW: RENT!","OK"))</f>
        <v/>
      </c>
    </row>
    <row r="69">
      <c r="A69" s="5" t="inlineStr">
        <is>
          <t>FN6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16">
        <f>F68+B69+E69-D69-C69</f>
        <v/>
      </c>
      <c r="G69" s="5">
        <f>IF(F69&lt;0,"STOCKOUT: SHIP HERE!",IF(F69&gt;$E$61+(H$61*ROUTE_CONFIG!$D$16),"OVERFLOW: RENT!","OK"))</f>
        <v/>
      </c>
    </row>
    <row r="70">
      <c r="A70" s="5" t="inlineStr">
        <is>
          <t>FN7</t>
        </is>
      </c>
      <c r="B70" s="6" t="n">
        <v>0</v>
      </c>
      <c r="C70" s="6" t="n">
        <v>0</v>
      </c>
      <c r="D70" s="6" t="n">
        <v>0</v>
      </c>
      <c r="E70" s="6" t="n">
        <v>0</v>
      </c>
      <c r="F70" s="16">
        <f>F69+B70+E70-D70-C70</f>
        <v/>
      </c>
      <c r="G70" s="5">
        <f>IF(F70&lt;0,"STOCKOUT: SHIP HERE!",IF(F70&gt;$E$61+(H$61*ROUTE_CONFIG!$D$16),"OVERFLOW: RENT!","OK"))</f>
        <v/>
      </c>
    </row>
    <row r="71">
      <c r="A71" s="5" t="inlineStr">
        <is>
          <t>FN8</t>
        </is>
      </c>
      <c r="B71" s="6" t="n">
        <v>0</v>
      </c>
      <c r="C71" s="6" t="n">
        <v>0</v>
      </c>
      <c r="D71" s="6" t="n">
        <v>0</v>
      </c>
      <c r="E71" s="6" t="n">
        <v>0</v>
      </c>
      <c r="F71" s="16">
        <f>F70+B71+E71-D71-C71</f>
        <v/>
      </c>
      <c r="G71" s="5">
        <f>IF(F71&lt;0,"STOCKOUT: SHIP HERE!",IF(F71&gt;$E$61+(H$61*ROUTE_CONFIG!$D$16),"OVERFLOW: RENT!","OK"))</f>
        <v/>
      </c>
    </row>
  </sheetData>
  <mergeCells count="5">
    <mergeCell ref="A18:H18"/>
    <mergeCell ref="A4:H4"/>
    <mergeCell ref="A60:H60"/>
    <mergeCell ref="A46:H46"/>
    <mergeCell ref="A32:H32"/>
  </mergeCells>
  <conditionalFormatting sqref="G8:G15">
    <cfRule type="expression" priority="1" dxfId="0">
      <formula>LEFT(G8,8)="STOCKOUT"</formula>
    </cfRule>
    <cfRule type="expression" priority="2" dxfId="1">
      <formula>LEFT(G8,8)="OVERFLOW"</formula>
    </cfRule>
  </conditionalFormatting>
  <conditionalFormatting sqref="G22:G29">
    <cfRule type="expression" priority="3" dxfId="0">
      <formula>LEFT(G22,8)="STOCKOUT"</formula>
    </cfRule>
    <cfRule type="expression" priority="4" dxfId="1">
      <formula>LEFT(G22,8)="OVERFLOW"</formula>
    </cfRule>
  </conditionalFormatting>
  <conditionalFormatting sqref="G36:G43">
    <cfRule type="expression" priority="5" dxfId="0">
      <formula>LEFT(G36,8)="STOCKOUT"</formula>
    </cfRule>
    <cfRule type="expression" priority="6" dxfId="1">
      <formula>LEFT(G36,8)="OVERFLOW"</formula>
    </cfRule>
  </conditionalFormatting>
  <conditionalFormatting sqref="G50:G57">
    <cfRule type="expression" priority="7" dxfId="0">
      <formula>LEFT(G50,8)="STOCKOUT"</formula>
    </cfRule>
    <cfRule type="expression" priority="8" dxfId="1">
      <formula>LEFT(G50,8)="OVERFLOW"</formula>
    </cfRule>
  </conditionalFormatting>
  <conditionalFormatting sqref="G64:G71">
    <cfRule type="expression" priority="9" dxfId="0">
      <formula>LEFT(G64,8)="STOCKOUT"</formula>
    </cfRule>
    <cfRule type="expression" priority="10" dxfId="1">
      <formula>LEFT(G64,8)="OVERFLOW"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SHIPMENT BUILDER - Plan Your Transfers</t>
        </is>
      </c>
    </row>
    <row r="2">
      <c r="A2" s="2" t="inlineStr">
        <is>
          <t>Add shipments here. MANUALLY update Outgoing/Incoming in INVENTORY_TETRIS (shifted by Lead Time).</t>
        </is>
      </c>
    </row>
    <row r="4">
      <c r="A4" s="25" t="inlineStr">
        <is>
          <t>IMPORTANT: After entering shipments here, update INVENTORY_TETRIS Tab 2:</t>
        </is>
      </c>
    </row>
    <row r="5">
      <c r="A5" s="2" t="inlineStr">
        <is>
          <t>• Add NEGATIVE quantity to Origin zone's 'Outgoing' column in the ORDER fortnight</t>
        </is>
      </c>
    </row>
    <row r="6">
      <c r="A6" s="2" t="inlineStr">
        <is>
          <t>• Add POSITIVE quantity to Destination zone's 'Incoming' column in ARRIVAL fortnight (Order + Lead Time)</t>
        </is>
      </c>
    </row>
    <row r="8">
      <c r="A8" s="3" t="inlineStr">
        <is>
          <t>SHIPMENT SCHEDULE</t>
        </is>
      </c>
    </row>
    <row r="9">
      <c r="A9" s="4" t="inlineStr">
        <is>
          <t>#</t>
        </is>
      </c>
      <c r="B9" s="4" t="inlineStr">
        <is>
          <t>Fortnight</t>
        </is>
      </c>
      <c r="C9" s="4" t="inlineStr">
        <is>
          <t>Origin</t>
        </is>
      </c>
      <c r="D9" s="4" t="inlineStr">
        <is>
          <t>Destination</t>
        </is>
      </c>
      <c r="E9" s="4" t="inlineStr">
        <is>
          <t>Material</t>
        </is>
      </c>
      <c r="F9" s="4" t="inlineStr">
        <is>
          <t>Mode</t>
        </is>
      </c>
      <c r="G9" s="4" t="inlineStr">
        <is>
          <t>Quantity</t>
        </is>
      </c>
      <c r="H9" s="4" t="inlineStr">
        <is>
          <t>Lead Time</t>
        </is>
      </c>
      <c r="I9" s="4" t="inlineStr">
        <is>
          <t>Arrival FN</t>
        </is>
      </c>
    </row>
    <row r="10">
      <c r="A10" s="5" t="n">
        <v>1</v>
      </c>
      <c r="B10" s="6" t="inlineStr"/>
      <c r="C10" s="6" t="inlineStr"/>
      <c r="D10" s="6" t="inlineStr"/>
      <c r="E10" s="6" t="inlineStr">
        <is>
          <t>Electroclean</t>
        </is>
      </c>
      <c r="F10" s="6" t="inlineStr">
        <is>
          <t>Truck</t>
        </is>
      </c>
      <c r="G10" s="6" t="inlineStr"/>
      <c r="H10" s="26">
        <f>IF(F10="Train",ROUTE_CONFIG!$B$6,IF(F10="Truck",ROUTE_CONFIG!$B$7,ROUTE_CONFIG!$B$8))</f>
        <v/>
      </c>
      <c r="I10" s="26">
        <f>IF(B10&lt;&gt;"",B10+H10,"")</f>
        <v/>
      </c>
    </row>
    <row r="11">
      <c r="A11" s="5" t="n">
        <v>2</v>
      </c>
      <c r="B11" s="6" t="inlineStr"/>
      <c r="C11" s="6" t="inlineStr"/>
      <c r="D11" s="6" t="inlineStr"/>
      <c r="E11" s="6" t="inlineStr">
        <is>
          <t>Electroclean</t>
        </is>
      </c>
      <c r="F11" s="6" t="inlineStr">
        <is>
          <t>Truck</t>
        </is>
      </c>
      <c r="G11" s="6" t="inlineStr"/>
      <c r="H11" s="26">
        <f>IF(F11="Train",ROUTE_CONFIG!$B$6,IF(F11="Truck",ROUTE_CONFIG!$B$7,ROUTE_CONFIG!$B$8))</f>
        <v/>
      </c>
      <c r="I11" s="26">
        <f>IF(B11&lt;&gt;"",B11+H11,"")</f>
        <v/>
      </c>
    </row>
    <row r="12">
      <c r="A12" s="5" t="n">
        <v>3</v>
      </c>
      <c r="B12" s="6" t="inlineStr"/>
      <c r="C12" s="6" t="inlineStr"/>
      <c r="D12" s="6" t="inlineStr"/>
      <c r="E12" s="6" t="inlineStr">
        <is>
          <t>Electroclean</t>
        </is>
      </c>
      <c r="F12" s="6" t="inlineStr">
        <is>
          <t>Truck</t>
        </is>
      </c>
      <c r="G12" s="6" t="inlineStr"/>
      <c r="H12" s="26">
        <f>IF(F12="Train",ROUTE_CONFIG!$B$6,IF(F12="Truck",ROUTE_CONFIG!$B$7,ROUTE_CONFIG!$B$8))</f>
        <v/>
      </c>
      <c r="I12" s="26">
        <f>IF(B12&lt;&gt;"",B12+H12,"")</f>
        <v/>
      </c>
    </row>
    <row r="13">
      <c r="A13" s="5" t="n">
        <v>4</v>
      </c>
      <c r="B13" s="6" t="inlineStr"/>
      <c r="C13" s="6" t="inlineStr"/>
      <c r="D13" s="6" t="inlineStr"/>
      <c r="E13" s="6" t="inlineStr">
        <is>
          <t>Electroclean</t>
        </is>
      </c>
      <c r="F13" s="6" t="inlineStr">
        <is>
          <t>Truck</t>
        </is>
      </c>
      <c r="G13" s="6" t="inlineStr"/>
      <c r="H13" s="26">
        <f>IF(F13="Train",ROUTE_CONFIG!$B$6,IF(F13="Truck",ROUTE_CONFIG!$B$7,ROUTE_CONFIG!$B$8))</f>
        <v/>
      </c>
      <c r="I13" s="26">
        <f>IF(B13&lt;&gt;"",B13+H13,"")</f>
        <v/>
      </c>
    </row>
    <row r="14">
      <c r="A14" s="5" t="n">
        <v>5</v>
      </c>
      <c r="B14" s="6" t="inlineStr"/>
      <c r="C14" s="6" t="inlineStr"/>
      <c r="D14" s="6" t="inlineStr"/>
      <c r="E14" s="6" t="inlineStr">
        <is>
          <t>Electroclean</t>
        </is>
      </c>
      <c r="F14" s="6" t="inlineStr">
        <is>
          <t>Truck</t>
        </is>
      </c>
      <c r="G14" s="6" t="inlineStr"/>
      <c r="H14" s="26">
        <f>IF(F14="Train",ROUTE_CONFIG!$B$6,IF(F14="Truck",ROUTE_CONFIG!$B$7,ROUTE_CONFIG!$B$8))</f>
        <v/>
      </c>
      <c r="I14" s="26">
        <f>IF(B14&lt;&gt;"",B14+H14,"")</f>
        <v/>
      </c>
    </row>
    <row r="15">
      <c r="A15" s="5" t="n">
        <v>6</v>
      </c>
      <c r="B15" s="6" t="inlineStr"/>
      <c r="C15" s="6" t="inlineStr"/>
      <c r="D15" s="6" t="inlineStr"/>
      <c r="E15" s="6" t="inlineStr">
        <is>
          <t>Electroclean</t>
        </is>
      </c>
      <c r="F15" s="6" t="inlineStr">
        <is>
          <t>Truck</t>
        </is>
      </c>
      <c r="G15" s="6" t="inlineStr"/>
      <c r="H15" s="26">
        <f>IF(F15="Train",ROUTE_CONFIG!$B$6,IF(F15="Truck",ROUTE_CONFIG!$B$7,ROUTE_CONFIG!$B$8))</f>
        <v/>
      </c>
      <c r="I15" s="26">
        <f>IF(B15&lt;&gt;"",B15+H15,"")</f>
        <v/>
      </c>
    </row>
    <row r="16">
      <c r="A16" s="5" t="n">
        <v>7</v>
      </c>
      <c r="B16" s="6" t="inlineStr"/>
      <c r="C16" s="6" t="inlineStr"/>
      <c r="D16" s="6" t="inlineStr"/>
      <c r="E16" s="6" t="inlineStr">
        <is>
          <t>Electroclean</t>
        </is>
      </c>
      <c r="F16" s="6" t="inlineStr">
        <is>
          <t>Truck</t>
        </is>
      </c>
      <c r="G16" s="6" t="inlineStr"/>
      <c r="H16" s="26">
        <f>IF(F16="Train",ROUTE_CONFIG!$B$6,IF(F16="Truck",ROUTE_CONFIG!$B$7,ROUTE_CONFIG!$B$8))</f>
        <v/>
      </c>
      <c r="I16" s="26">
        <f>IF(B16&lt;&gt;"",B16+H16,"")</f>
        <v/>
      </c>
    </row>
    <row r="17">
      <c r="A17" s="5" t="n">
        <v>8</v>
      </c>
      <c r="B17" s="6" t="inlineStr"/>
      <c r="C17" s="6" t="inlineStr"/>
      <c r="D17" s="6" t="inlineStr"/>
      <c r="E17" s="6" t="inlineStr">
        <is>
          <t>Electroclean</t>
        </is>
      </c>
      <c r="F17" s="6" t="inlineStr">
        <is>
          <t>Truck</t>
        </is>
      </c>
      <c r="G17" s="6" t="inlineStr"/>
      <c r="H17" s="26">
        <f>IF(F17="Train",ROUTE_CONFIG!$B$6,IF(F17="Truck",ROUTE_CONFIG!$B$7,ROUTE_CONFIG!$B$8))</f>
        <v/>
      </c>
      <c r="I17" s="26">
        <f>IF(B17&lt;&gt;"",B17+H17,"")</f>
        <v/>
      </c>
    </row>
    <row r="18">
      <c r="A18" s="5" t="n">
        <v>9</v>
      </c>
      <c r="B18" s="6" t="inlineStr"/>
      <c r="C18" s="6" t="inlineStr"/>
      <c r="D18" s="6" t="inlineStr"/>
      <c r="E18" s="6" t="inlineStr">
        <is>
          <t>Electroclean</t>
        </is>
      </c>
      <c r="F18" s="6" t="inlineStr">
        <is>
          <t>Truck</t>
        </is>
      </c>
      <c r="G18" s="6" t="inlineStr"/>
      <c r="H18" s="26">
        <f>IF(F18="Train",ROUTE_CONFIG!$B$6,IF(F18="Truck",ROUTE_CONFIG!$B$7,ROUTE_CONFIG!$B$8))</f>
        <v/>
      </c>
      <c r="I18" s="26">
        <f>IF(B18&lt;&gt;"",B18+H18,"")</f>
        <v/>
      </c>
    </row>
    <row r="19">
      <c r="A19" s="5" t="n">
        <v>10</v>
      </c>
      <c r="B19" s="6" t="inlineStr"/>
      <c r="C19" s="6" t="inlineStr"/>
      <c r="D19" s="6" t="inlineStr"/>
      <c r="E19" s="6" t="inlineStr">
        <is>
          <t>Electroclean</t>
        </is>
      </c>
      <c r="F19" s="6" t="inlineStr">
        <is>
          <t>Truck</t>
        </is>
      </c>
      <c r="G19" s="6" t="inlineStr"/>
      <c r="H19" s="26">
        <f>IF(F19="Train",ROUTE_CONFIG!$B$6,IF(F19="Truck",ROUTE_CONFIG!$B$7,ROUTE_CONFIG!$B$8))</f>
        <v/>
      </c>
      <c r="I19" s="26">
        <f>IF(B19&lt;&gt;"",B19+H19,"")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LOGISTICS DECISIONS - ExSim Upload Format (Side-by-Side)</t>
        </is>
      </c>
    </row>
    <row r="2">
      <c r="A2" s="2" t="inlineStr">
        <is>
          <t>Copy these values to ExSim Logistics upload</t>
        </is>
      </c>
    </row>
    <row r="4">
      <c r="A4" s="3" t="inlineStr">
        <is>
          <t>Warehouses</t>
        </is>
      </c>
      <c r="F4" s="3" t="inlineStr">
        <is>
          <t>Shipments</t>
        </is>
      </c>
    </row>
    <row r="5">
      <c r="A5" s="4" t="inlineStr">
        <is>
          <t>Zone</t>
        </is>
      </c>
      <c r="B5" s="4" t="inlineStr">
        <is>
          <t>Buy Modules</t>
        </is>
      </c>
      <c r="C5" s="4" t="inlineStr">
        <is>
          <t>Rent Modules</t>
        </is>
      </c>
      <c r="F5" s="4" t="inlineStr">
        <is>
          <t>Fortnight</t>
        </is>
      </c>
      <c r="G5" s="4" t="inlineStr">
        <is>
          <t>Origin</t>
        </is>
      </c>
      <c r="H5" s="4" t="inlineStr">
        <is>
          <t>Destination</t>
        </is>
      </c>
      <c r="I5" s="4" t="inlineStr">
        <is>
          <t>Material</t>
        </is>
      </c>
      <c r="J5" s="4" t="inlineStr">
        <is>
          <t>Transport</t>
        </is>
      </c>
      <c r="K5" s="4" t="inlineStr">
        <is>
          <t>Quantity</t>
        </is>
      </c>
    </row>
    <row r="6">
      <c r="A6" s="8" t="inlineStr">
        <is>
          <t>Center</t>
        </is>
      </c>
      <c r="B6" s="6" t="n">
        <v>0</v>
      </c>
      <c r="C6" s="26">
        <f>INVENTORY_TETRIS!H5</f>
        <v/>
      </c>
      <c r="F6" s="26">
        <f>SHIPMENT_BUILDER!B10</f>
        <v/>
      </c>
      <c r="G6" s="26">
        <f>SHIPMENT_BUILDER!C10</f>
        <v/>
      </c>
      <c r="H6" s="26">
        <f>SHIPMENT_BUILDER!D10</f>
        <v/>
      </c>
      <c r="I6" s="26">
        <f>SHIPMENT_BUILDER!E10</f>
        <v/>
      </c>
      <c r="J6" s="26">
        <f>SHIPMENT_BUILDER!F10</f>
        <v/>
      </c>
      <c r="K6" s="26">
        <f>SHIPMENT_BUILDER!G10</f>
        <v/>
      </c>
    </row>
    <row r="7">
      <c r="A7" s="10" t="inlineStr">
        <is>
          <t>West</t>
        </is>
      </c>
      <c r="B7" s="6" t="n">
        <v>0</v>
      </c>
      <c r="C7" s="26">
        <f>INVENTORY_TETRIS!H19</f>
        <v/>
      </c>
      <c r="F7" s="26">
        <f>SHIPMENT_BUILDER!B11</f>
        <v/>
      </c>
      <c r="G7" s="26">
        <f>SHIPMENT_BUILDER!C11</f>
        <v/>
      </c>
      <c r="H7" s="26">
        <f>SHIPMENT_BUILDER!D11</f>
        <v/>
      </c>
      <c r="I7" s="26">
        <f>SHIPMENT_BUILDER!E11</f>
        <v/>
      </c>
      <c r="J7" s="26">
        <f>SHIPMENT_BUILDER!F11</f>
        <v/>
      </c>
      <c r="K7" s="26">
        <f>SHIPMENT_BUILDER!G11</f>
        <v/>
      </c>
    </row>
    <row r="8">
      <c r="A8" s="11" t="inlineStr">
        <is>
          <t>North</t>
        </is>
      </c>
      <c r="B8" s="6" t="n">
        <v>0</v>
      </c>
      <c r="C8" s="26">
        <f>INVENTORY_TETRIS!H33</f>
        <v/>
      </c>
      <c r="F8" s="26">
        <f>SHIPMENT_BUILDER!B12</f>
        <v/>
      </c>
      <c r="G8" s="26">
        <f>SHIPMENT_BUILDER!C12</f>
        <v/>
      </c>
      <c r="H8" s="26">
        <f>SHIPMENT_BUILDER!D12</f>
        <v/>
      </c>
      <c r="I8" s="26">
        <f>SHIPMENT_BUILDER!E12</f>
        <v/>
      </c>
      <c r="J8" s="26">
        <f>SHIPMENT_BUILDER!F12</f>
        <v/>
      </c>
      <c r="K8" s="26">
        <f>SHIPMENT_BUILDER!G12</f>
        <v/>
      </c>
    </row>
    <row r="9">
      <c r="A9" s="12" t="inlineStr">
        <is>
          <t>East</t>
        </is>
      </c>
      <c r="B9" s="6" t="n">
        <v>0</v>
      </c>
      <c r="C9" s="26">
        <f>INVENTORY_TETRIS!H47</f>
        <v/>
      </c>
      <c r="F9" s="26">
        <f>SHIPMENT_BUILDER!B13</f>
        <v/>
      </c>
      <c r="G9" s="26">
        <f>SHIPMENT_BUILDER!C13</f>
        <v/>
      </c>
      <c r="H9" s="26">
        <f>SHIPMENT_BUILDER!D13</f>
        <v/>
      </c>
      <c r="I9" s="26">
        <f>SHIPMENT_BUILDER!E13</f>
        <v/>
      </c>
      <c r="J9" s="26">
        <f>SHIPMENT_BUILDER!F13</f>
        <v/>
      </c>
      <c r="K9" s="26">
        <f>SHIPMENT_BUILDER!G13</f>
        <v/>
      </c>
    </row>
    <row r="10">
      <c r="A10" s="13" t="inlineStr">
        <is>
          <t>South</t>
        </is>
      </c>
      <c r="B10" s="6" t="n">
        <v>0</v>
      </c>
      <c r="C10" s="26">
        <f>INVENTORY_TETRIS!H61</f>
        <v/>
      </c>
      <c r="F10" s="26">
        <f>SHIPMENT_BUILDER!B14</f>
        <v/>
      </c>
      <c r="G10" s="26">
        <f>SHIPMENT_BUILDER!C14</f>
        <v/>
      </c>
      <c r="H10" s="26">
        <f>SHIPMENT_BUILDER!D14</f>
        <v/>
      </c>
      <c r="I10" s="26">
        <f>SHIPMENT_BUILDER!E14</f>
        <v/>
      </c>
      <c r="J10" s="26">
        <f>SHIPMENT_BUILDER!F14</f>
        <v/>
      </c>
      <c r="K10" s="26">
        <f>SHIPMENT_BUILDER!G14</f>
        <v/>
      </c>
    </row>
    <row r="11">
      <c r="F11" s="26">
        <f>SHIPMENT_BUILDER!B15</f>
        <v/>
      </c>
      <c r="G11" s="26">
        <f>SHIPMENT_BUILDER!C15</f>
        <v/>
      </c>
      <c r="H11" s="26">
        <f>SHIPMENT_BUILDER!D15</f>
        <v/>
      </c>
      <c r="I11" s="26">
        <f>SHIPMENT_BUILDER!E15</f>
        <v/>
      </c>
      <c r="J11" s="26">
        <f>SHIPMENT_BUILDER!F15</f>
        <v/>
      </c>
      <c r="K11" s="26">
        <f>SHIPMENT_BUILDER!G15</f>
        <v/>
      </c>
    </row>
    <row r="12">
      <c r="F12" s="26">
        <f>SHIPMENT_BUILDER!B16</f>
        <v/>
      </c>
      <c r="G12" s="26">
        <f>SHIPMENT_BUILDER!C16</f>
        <v/>
      </c>
      <c r="H12" s="26">
        <f>SHIPMENT_BUILDER!D16</f>
        <v/>
      </c>
      <c r="I12" s="26">
        <f>SHIPMENT_BUILDER!E16</f>
        <v/>
      </c>
      <c r="J12" s="26">
        <f>SHIPMENT_BUILDER!F16</f>
        <v/>
      </c>
      <c r="K12" s="26">
        <f>SHIPMENT_BUILDER!G16</f>
        <v/>
      </c>
    </row>
    <row r="13">
      <c r="F13" s="26">
        <f>SHIPMENT_BUILDER!B17</f>
        <v/>
      </c>
      <c r="G13" s="26">
        <f>SHIPMENT_BUILDER!C17</f>
        <v/>
      </c>
      <c r="H13" s="26">
        <f>SHIPMENT_BUILDER!D17</f>
        <v/>
      </c>
      <c r="I13" s="26">
        <f>SHIPMENT_BUILDER!E17</f>
        <v/>
      </c>
      <c r="J13" s="26">
        <f>SHIPMENT_BUILDER!F17</f>
        <v/>
      </c>
      <c r="K13" s="26">
        <f>SHIPMENT_BUILDER!G17</f>
        <v/>
      </c>
    </row>
    <row r="14">
      <c r="F14" s="26">
        <f>SHIPMENT_BUILDER!B18</f>
        <v/>
      </c>
      <c r="G14" s="26">
        <f>SHIPMENT_BUILDER!C18</f>
        <v/>
      </c>
      <c r="H14" s="26">
        <f>SHIPMENT_BUILDER!D18</f>
        <v/>
      </c>
      <c r="I14" s="26">
        <f>SHIPMENT_BUILDER!E18</f>
        <v/>
      </c>
      <c r="J14" s="26">
        <f>SHIPMENT_BUILDER!F18</f>
        <v/>
      </c>
      <c r="K14" s="26">
        <f>SHIPMENT_BUILDER!G18</f>
        <v/>
      </c>
    </row>
    <row r="15">
      <c r="F15" s="26">
        <f>SHIPMENT_BUILDER!B19</f>
        <v/>
      </c>
      <c r="G15" s="26">
        <f>SHIPMENT_BUILDER!C19</f>
        <v/>
      </c>
      <c r="H15" s="26">
        <f>SHIPMENT_BUILDER!D19</f>
        <v/>
      </c>
      <c r="I15" s="26">
        <f>SHIPMENT_BUILDER!E19</f>
        <v/>
      </c>
      <c r="J15" s="26">
        <f>SHIPMENT_BUILDER!F19</f>
        <v/>
      </c>
      <c r="K15" s="26">
        <f>SHIPMENT_BUILDER!G19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2025-12-29T20:25:12Z</dcterms:created>
  <dcterms:modified xsi:type="dcterms:W3CDTF">2025-12-29T20:25:12Z</dcterms:modified>
</cp:coreProperties>
</file>