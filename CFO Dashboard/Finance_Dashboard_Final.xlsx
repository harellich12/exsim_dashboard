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QUIDITY_MONITOR" sheetId="1" state="visible" r:id="rId1"/>
    <sheet name="PROFIT_CONTROL" sheetId="2" state="visible" r:id="rId2"/>
    <sheet name="BALANCE_SHEET_HEALTH" sheetId="3" state="visible" r:id="rId3"/>
    <sheet name="DEBT_MANAGER" sheetId="4" state="visible" r:id="rId4"/>
    <sheet name="UPLOAD_READY_FI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2F5496"/>
      <sz val="12"/>
    </font>
    <font>
      <b val="1"/>
    </font>
    <font>
      <b val="1"/>
      <color rgb="00FFFFFF"/>
    </font>
    <font>
      <i val="1"/>
      <color rgb="00666666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164" fontId="0" fillId="3" borderId="1" pivotButton="0" quotePrefix="0" xfId="0"/>
    <xf numFmtId="0" fontId="3" fillId="0" borderId="0" pivotButton="0" quotePrefix="0" xfId="0"/>
    <xf numFmtId="164" fontId="3" fillId="4" borderId="1" pivotButton="0" quotePrefix="0" xfId="0"/>
    <xf numFmtId="0" fontId="4" fillId="5" borderId="0" pivotButton="0" quotePrefix="0" xfId="0"/>
    <xf numFmtId="0" fontId="4" fillId="5" borderId="0" applyAlignment="1" pivotButton="0" quotePrefix="0" xfId="0">
      <alignment horizontal="center"/>
    </xf>
    <xf numFmtId="164" fontId="0" fillId="6" borderId="1" pivotButton="0" quotePrefix="0" xfId="0"/>
    <xf numFmtId="165" fontId="0" fillId="2" borderId="1" pivotButton="0" quotePrefix="0" xfId="0"/>
    <xf numFmtId="0" fontId="4" fillId="5" borderId="1" pivotButton="0" quotePrefix="0" xfId="0"/>
    <xf numFmtId="165" fontId="0" fillId="6" borderId="1" pivotButton="0" quotePrefix="0" xfId="0"/>
    <xf numFmtId="164" fontId="3" fillId="2" borderId="1" pivotButton="0" quotePrefix="0" xfId="0"/>
    <xf numFmtId="0" fontId="3" fillId="0" borderId="1" pivotButton="0" quotePrefix="0" xfId="0"/>
    <xf numFmtId="165" fontId="3" fillId="4" borderId="1" pivotButton="0" quotePrefix="0" xfId="0"/>
    <xf numFmtId="165" fontId="0" fillId="3" borderId="1" pivotButton="0" quotePrefix="0" xfId="0"/>
    <xf numFmtId="0" fontId="0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LIQUIDITY MONITOR - Cash Flow Engine</t>
        </is>
      </c>
    </row>
    <row r="3">
      <c r="A3" s="2" t="inlineStr">
        <is>
          <t>SECTION A: INITIALIZATION (Initial Cash Flow Bridge)</t>
        </is>
      </c>
    </row>
    <row r="5">
      <c r="A5" s="3" t="inlineStr">
        <is>
          <t>Cash at End of Last Period</t>
        </is>
      </c>
      <c r="B5" s="4" t="n">
        <v>555000</v>
      </c>
    </row>
    <row r="6">
      <c r="A6" s="3" t="inlineStr">
        <is>
          <t>Less: Tax Payments</t>
        </is>
      </c>
      <c r="B6" s="5" t="n">
        <v>75000</v>
      </c>
    </row>
    <row r="7">
      <c r="A7" s="3" t="inlineStr">
        <is>
          <t>Less: Dividend Payments</t>
        </is>
      </c>
      <c r="B7" s="5" t="n">
        <v>0</v>
      </c>
    </row>
    <row r="8">
      <c r="A8" s="3" t="inlineStr">
        <is>
          <t>Less: Asset Purchases</t>
        </is>
      </c>
      <c r="B8" s="5" t="n">
        <v>0</v>
      </c>
    </row>
    <row r="9">
      <c r="A9" s="6" t="inlineStr">
        <is>
          <t>STARTING CASH FOR FN1</t>
        </is>
      </c>
      <c r="B9" s="7">
        <f>B5-B6-B7-B8</f>
        <v/>
      </c>
    </row>
    <row r="12">
      <c r="A12" s="2" t="inlineStr">
        <is>
          <t>SECTION B: OPERATIONAL CASH FLOW</t>
        </is>
      </c>
    </row>
    <row r="14">
      <c r="A14" s="8" t="inlineStr">
        <is>
          <t>Item</t>
        </is>
      </c>
      <c r="B14" s="9" t="inlineStr">
        <is>
          <t>FN1</t>
        </is>
      </c>
      <c r="C14" s="9" t="inlineStr">
        <is>
          <t>FN2</t>
        </is>
      </c>
      <c r="D14" s="9" t="inlineStr">
        <is>
          <t>FN3</t>
        </is>
      </c>
      <c r="E14" s="9" t="inlineStr">
        <is>
          <t>FN4</t>
        </is>
      </c>
      <c r="F14" s="9" t="inlineStr">
        <is>
          <t>FN5</t>
        </is>
      </c>
      <c r="G14" s="9" t="inlineStr">
        <is>
          <t>FN6</t>
        </is>
      </c>
      <c r="H14" s="9" t="inlineStr">
        <is>
          <t>FN7</t>
        </is>
      </c>
      <c r="I14" s="9" t="inlineStr">
        <is>
          <t>FN8</t>
        </is>
      </c>
    </row>
    <row r="15">
      <c r="A15" s="3" t="inlineStr">
        <is>
          <t>Opening Cash</t>
        </is>
      </c>
      <c r="B15" s="4">
        <f>$B$9</f>
        <v/>
      </c>
      <c r="C15" s="4">
        <f>B$30</f>
        <v/>
      </c>
      <c r="D15" s="4">
        <f>C$30</f>
        <v/>
      </c>
      <c r="E15" s="4">
        <f>D$30</f>
        <v/>
      </c>
      <c r="F15" s="4">
        <f>E$30</f>
        <v/>
      </c>
      <c r="G15" s="4">
        <f>F$30</f>
        <v/>
      </c>
      <c r="H15" s="4">
        <f>G$30</f>
        <v/>
      </c>
      <c r="I15" s="4">
        <f>H$30</f>
        <v/>
      </c>
    </row>
    <row r="16">
      <c r="A16" s="3" t="inlineStr">
        <is>
          <t>Sales Receipts (Est.)</t>
        </is>
      </c>
      <c r="B16" s="5" t="n">
        <v>100000</v>
      </c>
      <c r="C16" s="5" t="n">
        <v>100000</v>
      </c>
      <c r="D16" s="5" t="n">
        <v>100000</v>
      </c>
      <c r="E16" s="5" t="n">
        <v>100000</v>
      </c>
      <c r="F16" s="5" t="n">
        <v>100000</v>
      </c>
      <c r="G16" s="5" t="n">
        <v>100000</v>
      </c>
      <c r="H16" s="5" t="n">
        <v>100000</v>
      </c>
      <c r="I16" s="5" t="n">
        <v>100000</v>
      </c>
    </row>
    <row r="17">
      <c r="A17" s="3" t="inlineStr">
        <is>
          <t>Procurement Spend (Est.)</t>
        </is>
      </c>
      <c r="B17" s="5" t="n">
        <v>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3" t="inlineStr">
        <is>
          <t>Fixed Overhead (S&amp;A)</t>
        </is>
      </c>
      <c r="B18" s="5" t="n">
        <v>5250</v>
      </c>
      <c r="C18" s="5" t="n">
        <v>5250</v>
      </c>
      <c r="D18" s="5" t="n">
        <v>5250</v>
      </c>
      <c r="E18" s="5" t="n">
        <v>5250</v>
      </c>
      <c r="F18" s="5" t="n">
        <v>5250</v>
      </c>
      <c r="G18" s="5" t="n">
        <v>5250</v>
      </c>
      <c r="H18" s="5" t="n">
        <v>5250</v>
      </c>
      <c r="I18" s="5" t="n">
        <v>5250</v>
      </c>
    </row>
    <row r="19">
      <c r="A19" s="3" t="inlineStr">
        <is>
          <t>Receivables (Hard)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Payables (Hard)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2">
      <c r="A22" s="2" t="inlineStr">
        <is>
          <t>SECTION C: FINANCING DECISIONS</t>
        </is>
      </c>
    </row>
    <row r="23">
      <c r="A23" s="3" t="inlineStr">
        <is>
          <t>Change in Credit Line (+/-)</t>
        </is>
      </c>
      <c r="B23" s="5" t="n">
        <v>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3" t="inlineStr">
        <is>
          <t>Change in Investments (+/-)</t>
        </is>
      </c>
      <c r="B24" s="5" t="n">
        <v>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>
      <c r="A25" s="3" t="inlineStr">
        <is>
          <t>New Mortgage Inflow</t>
        </is>
      </c>
      <c r="B25" s="5" t="n">
        <v>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>
      <c r="A26" s="3" t="inlineStr">
        <is>
          <t>Dividends Paid</t>
        </is>
      </c>
      <c r="B26" s="5" t="n">
        <v>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</row>
    <row r="28">
      <c r="A28" s="2" t="inlineStr">
        <is>
          <t>SECTION D: CASH BALANCE</t>
        </is>
      </c>
    </row>
    <row r="29">
      <c r="A29" s="3" t="inlineStr">
        <is>
          <t>Net Cash Flow</t>
        </is>
      </c>
      <c r="B29" s="10">
        <f>B16+B19+B23+B25-B17-B18-B20-B24-B26</f>
        <v/>
      </c>
      <c r="C29" s="10">
        <f>C16+C19+C23+C25-C17-C18-C20-C24-C26</f>
        <v/>
      </c>
      <c r="D29" s="10">
        <f>D16+D19+D23+D25-D17-D18-D20-D24-D26</f>
        <v/>
      </c>
      <c r="E29" s="10">
        <f>E16+E19+E23+E25-E17-E18-E20-E24-E26</f>
        <v/>
      </c>
      <c r="F29" s="10">
        <f>F16+F19+F23+F25-F17-F18-F20-F24-F26</f>
        <v/>
      </c>
      <c r="G29" s="10">
        <f>G16+G19+G23+G25-G17-G18-G20-G24-G26</f>
        <v/>
      </c>
      <c r="H29" s="10">
        <f>H16+H19+H23+H25-H17-H18-H20-H24-H26</f>
        <v/>
      </c>
      <c r="I29" s="10">
        <f>I16+I19+I23+I25-I17-I18-I20-I24-I26</f>
        <v/>
      </c>
    </row>
    <row r="30">
      <c r="A30" s="6" t="inlineStr">
        <is>
          <t>ENDING CASH BALANCE</t>
        </is>
      </c>
      <c r="B30" s="7">
        <f>B15+B29</f>
        <v/>
      </c>
      <c r="C30" s="7">
        <f>C15+C29</f>
        <v/>
      </c>
      <c r="D30" s="7">
        <f>D15+D29</f>
        <v/>
      </c>
      <c r="E30" s="7">
        <f>E15+E29</f>
        <v/>
      </c>
      <c r="F30" s="7">
        <f>F15+F29</f>
        <v/>
      </c>
      <c r="G30" s="7">
        <f>G15+G29</f>
        <v/>
      </c>
      <c r="H30" s="7">
        <f>H15+H29</f>
        <v/>
      </c>
      <c r="I30" s="7">
        <f>I15+I29</f>
        <v/>
      </c>
    </row>
    <row r="31">
      <c r="A31" s="3" t="inlineStr">
        <is>
          <t>Solvency Check</t>
        </is>
      </c>
      <c r="B31" s="3">
        <f>IF(B30&lt;0,"INSOLVENT!",IF(B30&gt;200000,"Excess Cash","OK"))</f>
        <v/>
      </c>
      <c r="C31" s="3">
        <f>IF(C30&lt;0,"INSOLVENT!",IF(C30&gt;200000,"Excess Cash","OK"))</f>
        <v/>
      </c>
      <c r="D31" s="3">
        <f>IF(D30&lt;0,"INSOLVENT!",IF(D30&gt;200000,"Excess Cash","OK"))</f>
        <v/>
      </c>
      <c r="E31" s="3">
        <f>IF(E30&lt;0,"INSOLVENT!",IF(E30&gt;200000,"Excess Cash","OK"))</f>
        <v/>
      </c>
      <c r="F31" s="3">
        <f>IF(F30&lt;0,"INSOLVENT!",IF(F30&gt;200000,"Excess Cash","OK"))</f>
        <v/>
      </c>
      <c r="G31" s="3">
        <f>IF(G30&lt;0,"INSOLVENT!",IF(G30&gt;200000,"Excess Cash","OK"))</f>
        <v/>
      </c>
      <c r="H31" s="3">
        <f>IF(H30&lt;0,"INSOLVENT!",IF(H30&gt;200000,"Excess Cash","OK"))</f>
        <v/>
      </c>
      <c r="I31" s="3">
        <f>IF(I30&lt;0,"INSOLVENT!",IF(I30&gt;200000,"Excess Cash","OK"))</f>
        <v/>
      </c>
    </row>
  </sheetData>
  <conditionalFormatting sqref="B30:I30">
    <cfRule type="expression" priority="1" dxfId="0">
      <formula>B30&lt;0</formula>
    </cfRule>
    <cfRule type="expression" priority="2" dxfId="1">
      <formula>B30&gt;200000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2" customWidth="1" min="3" max="3"/>
    <col width="14" customWidth="1" min="4" max="4"/>
  </cols>
  <sheetData>
    <row r="1">
      <c r="A1" s="1" t="inlineStr">
        <is>
          <t>PROFIT CONTROL - Income Statement Forecast vs Actuals</t>
        </is>
      </c>
    </row>
    <row r="3">
      <c r="A3" s="2" t="inlineStr">
        <is>
          <t>HISTORICAL MARGINS (From results_and_balance_statements)</t>
        </is>
      </c>
    </row>
    <row r="5">
      <c r="A5" s="3" t="inlineStr">
        <is>
          <t>Historical Gross Margin %</t>
        </is>
      </c>
      <c r="B5" s="11" t="n">
        <v>0.4</v>
      </c>
    </row>
    <row r="6">
      <c r="A6" s="3" t="inlineStr">
        <is>
          <t>Historical Net Margin %</t>
        </is>
      </c>
      <c r="B6" s="11" t="n">
        <v>0.1358</v>
      </c>
    </row>
    <row r="9">
      <c r="A9" s="2" t="inlineStr">
        <is>
          <t>INCOME STATEMENT COMPARISON</t>
        </is>
      </c>
    </row>
    <row r="10">
      <c r="A10" s="12" t="inlineStr">
        <is>
          <t>Line Item</t>
        </is>
      </c>
      <c r="B10" s="12" t="inlineStr">
        <is>
          <t>Last Round Actuals</t>
        </is>
      </c>
      <c r="C10" s="12" t="inlineStr">
        <is>
          <t>This Round Projected</t>
        </is>
      </c>
      <c r="D10" s="12" t="inlineStr">
        <is>
          <t>Variance %</t>
        </is>
      </c>
    </row>
    <row r="11">
      <c r="A11" s="3" t="inlineStr">
        <is>
          <t>Net Sales / Revenue</t>
        </is>
      </c>
      <c r="B11" s="4" t="n">
        <v>2500000</v>
      </c>
      <c r="C11" s="5" t="n">
        <v>2500000</v>
      </c>
      <c r="D11" s="13">
        <f>IF(B11&gt;0,(C11-B11)/B11,0)</f>
        <v/>
      </c>
    </row>
    <row r="12">
      <c r="A12" s="3" t="inlineStr">
        <is>
          <t>Cost of Goods Sold</t>
        </is>
      </c>
      <c r="B12" s="4" t="n">
        <v>1500000</v>
      </c>
      <c r="C12" s="10">
        <f>C11*(1-$B$5)</f>
        <v/>
      </c>
      <c r="D12" s="13">
        <f>IF(B12&gt;0,(C12-B12)/B12,0)</f>
        <v/>
      </c>
    </row>
    <row r="13">
      <c r="A13" s="3" t="inlineStr">
        <is>
          <t>Gross Margin</t>
        </is>
      </c>
      <c r="B13" s="4" t="n">
        <v>1000000</v>
      </c>
      <c r="C13" s="10">
        <f>C11-C12</f>
        <v/>
      </c>
      <c r="D13" s="13">
        <f>IF(B13&gt;0,(C13-B13)/B13,0)</f>
        <v/>
      </c>
    </row>
    <row r="14">
      <c r="A14" s="3" t="inlineStr">
        <is>
          <t>S&amp;A Expenses</t>
        </is>
      </c>
      <c r="B14" s="4" t="n">
        <v>42000</v>
      </c>
      <c r="C14" s="5" t="n">
        <v>42000</v>
      </c>
      <c r="D14" s="13">
        <f>IF(B14&gt;0,(C14-B14)/B14,0)</f>
        <v/>
      </c>
    </row>
    <row r="15">
      <c r="A15" s="3" t="inlineStr">
        <is>
          <t>Depreciation</t>
        </is>
      </c>
      <c r="B15" s="4" t="n">
        <v>120000</v>
      </c>
      <c r="C15" s="5" t="n">
        <v>120000</v>
      </c>
      <c r="D15" s="13">
        <f>IF(B15&gt;0,(C15-B15)/B15,0)</f>
        <v/>
      </c>
    </row>
    <row r="16">
      <c r="A16" s="3" t="inlineStr">
        <is>
          <t>Interest Expense</t>
        </is>
      </c>
      <c r="B16" s="4" t="n">
        <v>0</v>
      </c>
      <c r="C16" s="5" t="n">
        <v>0</v>
      </c>
    </row>
    <row r="17">
      <c r="A17" s="6" t="inlineStr">
        <is>
          <t>EST. NET INCOME</t>
        </is>
      </c>
      <c r="B17" s="14" t="n">
        <v>339500</v>
      </c>
      <c r="C17" s="7">
        <f>C13-C14-C15-C16</f>
        <v/>
      </c>
      <c r="D17" s="13">
        <f>IF(B17&gt;0,(C17-B17)/B17,0)</f>
        <v/>
      </c>
    </row>
    <row r="19">
      <c r="A19" s="2" t="inlineStr">
        <is>
          <t>ACCURACY CHECK</t>
        </is>
      </c>
    </row>
    <row r="20">
      <c r="A20" s="3" t="inlineStr">
        <is>
          <t>Projected Net Margin</t>
        </is>
      </c>
      <c r="B20" s="13">
        <f>IF(C11&gt;0,C17/C11,0)</f>
        <v/>
      </c>
    </row>
    <row r="21">
      <c r="A21" s="3" t="inlineStr">
        <is>
          <t>Profit Realism Flag</t>
        </is>
      </c>
      <c r="B21" s="15">
        <f>IF(B20&gt;$B$6+0.05,"WARNING: Unrealistic profit jump!","Projection OK")</f>
        <v/>
      </c>
    </row>
  </sheetData>
  <conditionalFormatting sqref="C17">
    <cfRule type="expression" priority="1" dxfId="0">
      <formula>C17&lt;0</formula>
    </cfRule>
    <cfRule type="expression" priority="2" dxfId="1">
      <formula>C17&gt;0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1" t="inlineStr">
        <is>
          <t>BALANCE SHEET HEALTH - Solvency &amp; Debt Control</t>
        </is>
      </c>
    </row>
    <row r="3">
      <c r="A3" s="2" t="inlineStr">
        <is>
          <t>CURRENT POSITION (From results_and_balance_statements)</t>
        </is>
      </c>
    </row>
    <row r="5">
      <c r="A5" s="3" t="inlineStr">
        <is>
          <t>Total Assets</t>
        </is>
      </c>
      <c r="B5" s="4" t="n">
        <v>4200000</v>
      </c>
    </row>
    <row r="6">
      <c r="A6" s="3" t="inlineStr">
        <is>
          <t>Total Liabilities</t>
        </is>
      </c>
      <c r="B6" s="4" t="n">
        <v>1680000</v>
      </c>
    </row>
    <row r="7">
      <c r="A7" s="3" t="inlineStr">
        <is>
          <t>Total Equity</t>
        </is>
      </c>
      <c r="B7" s="4" t="n">
        <v>2520000</v>
      </c>
    </row>
    <row r="8">
      <c r="A8" s="3" t="inlineStr">
        <is>
          <t>Retained Earnings</t>
        </is>
      </c>
      <c r="B8" s="4" t="n">
        <v>850000</v>
      </c>
    </row>
    <row r="11">
      <c r="A11" s="2" t="inlineStr">
        <is>
          <t>DEBT ANALYSIS</t>
        </is>
      </c>
    </row>
    <row r="13">
      <c r="A13" s="3" t="inlineStr">
        <is>
          <t>Current Debt Ratio</t>
        </is>
      </c>
      <c r="B13" s="13">
        <f>B6/B5</f>
        <v/>
      </c>
    </row>
    <row r="15">
      <c r="A15" s="3" t="inlineStr">
        <is>
          <t>Projected New Credit Lines</t>
        </is>
      </c>
      <c r="B15" s="5" t="n">
        <v>0</v>
      </c>
    </row>
    <row r="16">
      <c r="A16" s="3" t="inlineStr">
        <is>
          <t>Projected New Mortgages</t>
        </is>
      </c>
      <c r="B16" s="5" t="n">
        <v>0</v>
      </c>
    </row>
    <row r="17">
      <c r="A17" s="3" t="inlineStr">
        <is>
          <t>Total New Debt</t>
        </is>
      </c>
      <c r="B17" s="10">
        <f>B15+B16</f>
        <v/>
      </c>
    </row>
    <row r="19">
      <c r="A19" s="3" t="inlineStr">
        <is>
          <t>Est. Post-Decision Debt Ratio</t>
        </is>
      </c>
      <c r="B19" s="16">
        <f>(B6+B17)/B5</f>
        <v/>
      </c>
    </row>
    <row r="21">
      <c r="A21" s="2" t="inlineStr">
        <is>
          <t>WARNING FLAGS</t>
        </is>
      </c>
    </row>
    <row r="22">
      <c r="A22" s="3" t="inlineStr">
        <is>
          <t>Debt Level Check</t>
        </is>
      </c>
      <c r="B22" s="15">
        <f>IF(B19&gt;0.6,"CRITICAL: Debt too high. Credit Rating Risk.","Health OK")</f>
        <v/>
      </c>
    </row>
    <row r="23">
      <c r="A23" s="3" t="inlineStr">
        <is>
          <t>Equity Check</t>
        </is>
      </c>
      <c r="B23" s="15">
        <f>IF(B8&lt;0,"CRITICAL: Equity Erosion. Retained earnings negative.","Equity 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DEBT MANAGER - Mortgage Calculator</t>
        </is>
      </c>
    </row>
    <row r="3">
      <c r="A3" s="2" t="inlineStr">
        <is>
          <t>MORTGAGE BLOCK</t>
        </is>
      </c>
    </row>
    <row r="5">
      <c r="A5" s="12" t="inlineStr">
        <is>
          <t>Loan #</t>
        </is>
      </c>
      <c r="B5" s="12" t="inlineStr">
        <is>
          <t>Amount</t>
        </is>
      </c>
      <c r="C5" s="12" t="inlineStr">
        <is>
          <t>Interest Rate</t>
        </is>
      </c>
      <c r="D5" s="12" t="inlineStr">
        <is>
          <t>Payment Period 1</t>
        </is>
      </c>
      <c r="E5" s="12" t="inlineStr">
        <is>
          <t>Payment Period 2</t>
        </is>
      </c>
      <c r="F5" s="12" t="inlineStr">
        <is>
          <t>Total Payments</t>
        </is>
      </c>
    </row>
    <row r="6">
      <c r="A6" s="3" t="inlineStr">
        <is>
          <t>Loan 1</t>
        </is>
      </c>
      <c r="B6" s="5" t="n">
        <v>0</v>
      </c>
      <c r="C6" s="17" t="n">
        <v>0</v>
      </c>
      <c r="D6" s="5" t="n">
        <v>0</v>
      </c>
      <c r="E6" s="5" t="n">
        <v>0</v>
      </c>
      <c r="F6" s="10">
        <f>D6+E6</f>
        <v/>
      </c>
    </row>
    <row r="7">
      <c r="A7" s="3" t="inlineStr">
        <is>
          <t>Loan 2</t>
        </is>
      </c>
      <c r="B7" s="5" t="n">
        <v>0</v>
      </c>
      <c r="C7" s="17" t="n">
        <v>0</v>
      </c>
      <c r="D7" s="5" t="n">
        <v>0</v>
      </c>
      <c r="E7" s="5" t="n">
        <v>0</v>
      </c>
      <c r="F7" s="10">
        <f>D7+E7</f>
        <v/>
      </c>
    </row>
    <row r="8">
      <c r="A8" s="3" t="inlineStr">
        <is>
          <t>Loan 3</t>
        </is>
      </c>
      <c r="B8" s="5" t="n">
        <v>0</v>
      </c>
      <c r="C8" s="17" t="n">
        <v>0</v>
      </c>
      <c r="D8" s="5" t="n">
        <v>0</v>
      </c>
      <c r="E8" s="5" t="n">
        <v>0</v>
      </c>
      <c r="F8" s="10">
        <f>D8+E8</f>
        <v/>
      </c>
    </row>
    <row r="10">
      <c r="A10" s="6" t="inlineStr">
        <is>
          <t>TOTAL</t>
        </is>
      </c>
      <c r="B10" s="18">
        <f>SUM(B6:B8)</f>
        <v/>
      </c>
      <c r="F10" s="18">
        <f>SUM(F6:F8)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FINANCE DECISIONS - ExSim Upload Format</t>
        </is>
      </c>
    </row>
    <row r="2">
      <c r="A2" s="19" t="inlineStr">
        <is>
          <t>Copy these values to ExSim Finance upload</t>
        </is>
      </c>
    </row>
    <row r="4">
      <c r="A4" s="2" t="inlineStr">
        <is>
          <t>Credit Lines</t>
        </is>
      </c>
    </row>
    <row r="5">
      <c r="B5" s="12" t="inlineStr">
        <is>
          <t>FN1</t>
        </is>
      </c>
      <c r="C5" s="12" t="inlineStr">
        <is>
          <t>FN2</t>
        </is>
      </c>
      <c r="D5" s="12" t="inlineStr">
        <is>
          <t>FN3</t>
        </is>
      </c>
      <c r="E5" s="12" t="inlineStr">
        <is>
          <t>FN4</t>
        </is>
      </c>
      <c r="F5" s="12" t="inlineStr">
        <is>
          <t>FN5</t>
        </is>
      </c>
      <c r="G5" s="12" t="inlineStr">
        <is>
          <t>FN6</t>
        </is>
      </c>
      <c r="H5" s="12" t="inlineStr">
        <is>
          <t>FN7</t>
        </is>
      </c>
      <c r="I5" s="12" t="inlineStr">
        <is>
          <t>FN8</t>
        </is>
      </c>
    </row>
    <row r="6">
      <c r="A6" s="3" t="inlineStr">
        <is>
          <t>Amount</t>
        </is>
      </c>
      <c r="B6" s="10">
        <f>LIQUIDITY_MONITOR!B23</f>
        <v/>
      </c>
      <c r="C6" s="10">
        <f>LIQUIDITY_MONITOR!C23</f>
        <v/>
      </c>
      <c r="D6" s="10">
        <f>LIQUIDITY_MONITOR!D23</f>
        <v/>
      </c>
      <c r="E6" s="10">
        <f>LIQUIDITY_MONITOR!E23</f>
        <v/>
      </c>
      <c r="F6" s="10">
        <f>LIQUIDITY_MONITOR!F23</f>
        <v/>
      </c>
      <c r="G6" s="10">
        <f>LIQUIDITY_MONITOR!G23</f>
        <v/>
      </c>
      <c r="H6" s="10">
        <f>LIQUIDITY_MONITOR!H23</f>
        <v/>
      </c>
      <c r="I6" s="10">
        <f>LIQUIDITY_MONITOR!I23</f>
        <v/>
      </c>
    </row>
    <row r="9">
      <c r="A9" s="2" t="inlineStr">
        <is>
          <t>Investments</t>
        </is>
      </c>
    </row>
    <row r="10">
      <c r="B10" s="12" t="inlineStr">
        <is>
          <t>FN1</t>
        </is>
      </c>
      <c r="C10" s="12" t="inlineStr">
        <is>
          <t>FN2</t>
        </is>
      </c>
      <c r="D10" s="12" t="inlineStr">
        <is>
          <t>FN3</t>
        </is>
      </c>
      <c r="E10" s="12" t="inlineStr">
        <is>
          <t>FN4</t>
        </is>
      </c>
      <c r="F10" s="12" t="inlineStr">
        <is>
          <t>FN5</t>
        </is>
      </c>
      <c r="G10" s="12" t="inlineStr">
        <is>
          <t>FN6</t>
        </is>
      </c>
      <c r="H10" s="12" t="inlineStr">
        <is>
          <t>FN7</t>
        </is>
      </c>
      <c r="I10" s="12" t="inlineStr">
        <is>
          <t>FN8</t>
        </is>
      </c>
    </row>
    <row r="11">
      <c r="A11" s="3" t="inlineStr">
        <is>
          <t>Amount</t>
        </is>
      </c>
      <c r="B11" s="10">
        <f>LIQUIDITY_MONITOR!B24</f>
        <v/>
      </c>
      <c r="C11" s="10">
        <f>LIQUIDITY_MONITOR!C24</f>
        <v/>
      </c>
      <c r="D11" s="10">
        <f>LIQUIDITY_MONITOR!D24</f>
        <v/>
      </c>
      <c r="E11" s="10">
        <f>LIQUIDITY_MONITOR!E24</f>
        <v/>
      </c>
      <c r="F11" s="10">
        <f>LIQUIDITY_MONITOR!F24</f>
        <v/>
      </c>
      <c r="G11" s="10">
        <f>LIQUIDITY_MONITOR!G24</f>
        <v/>
      </c>
      <c r="H11" s="10">
        <f>LIQUIDITY_MONITOR!H24</f>
        <v/>
      </c>
      <c r="I11" s="10">
        <f>LIQUIDITY_MONITOR!I24</f>
        <v/>
      </c>
    </row>
    <row r="14">
      <c r="A14" s="2" t="inlineStr">
        <is>
          <t>Mortgages</t>
        </is>
      </c>
    </row>
    <row r="15">
      <c r="A15" s="12" t="inlineStr">
        <is>
          <t>Loan</t>
        </is>
      </c>
      <c r="B15" s="12" t="inlineStr">
        <is>
          <t>Amount</t>
        </is>
      </c>
      <c r="C15" s="12" t="inlineStr">
        <is>
          <t>Payment 1</t>
        </is>
      </c>
      <c r="D15" s="12" t="inlineStr">
        <is>
          <t>Payment 2</t>
        </is>
      </c>
    </row>
    <row r="16">
      <c r="A16" s="3" t="inlineStr">
        <is>
          <t>Loan 1</t>
        </is>
      </c>
      <c r="B16" s="3">
        <f>DEBT_MANAGER!B6</f>
        <v/>
      </c>
      <c r="C16" s="3">
        <f>DEBT_MANAGER!D6</f>
        <v/>
      </c>
      <c r="D16" s="3">
        <f>DEBT_MANAGER!E6</f>
        <v/>
      </c>
    </row>
    <row r="17">
      <c r="A17" s="3" t="inlineStr">
        <is>
          <t>Loan 2</t>
        </is>
      </c>
      <c r="B17" s="3">
        <f>DEBT_MANAGER!B7</f>
        <v/>
      </c>
      <c r="C17" s="3">
        <f>DEBT_MANAGER!D7</f>
        <v/>
      </c>
      <c r="D17" s="3">
        <f>DEBT_MANAGER!E7</f>
        <v/>
      </c>
    </row>
    <row r="18">
      <c r="A18" s="3" t="inlineStr">
        <is>
          <t>Loan 3</t>
        </is>
      </c>
      <c r="B18" s="3">
        <f>DEBT_MANAGER!B8</f>
        <v/>
      </c>
      <c r="C18" s="3">
        <f>DEBT_MANAGER!D8</f>
        <v/>
      </c>
      <c r="D18" s="3">
        <f>DEBT_MANAGER!E8</f>
        <v/>
      </c>
    </row>
    <row r="21">
      <c r="A21" s="2" t="inlineStr">
        <is>
          <t>Dividends</t>
        </is>
      </c>
    </row>
    <row r="22">
      <c r="B22" s="10">
        <f>LIQUIDITY_MONITOR!B26</f>
        <v/>
      </c>
      <c r="C22" s="10">
        <f>LIQUIDITY_MONITOR!C26</f>
        <v/>
      </c>
      <c r="D22" s="10">
        <f>LIQUIDITY_MONITOR!D26</f>
        <v/>
      </c>
      <c r="E22" s="10">
        <f>LIQUIDITY_MONITOR!E26</f>
        <v/>
      </c>
      <c r="F22" s="10">
        <f>LIQUIDITY_MONITOR!F26</f>
        <v/>
      </c>
      <c r="G22" s="10">
        <f>LIQUIDITY_MONITOR!G26</f>
        <v/>
      </c>
      <c r="H22" s="10">
        <f>LIQUIDITY_MONITOR!H26</f>
        <v/>
      </c>
      <c r="I22" s="10">
        <f>LIQUIDITY_MONITOR!I26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2025-12-29T20:25:12Z</dcterms:created>
  <dcterms:modified xsi:type="dcterms:W3CDTF">2025-12-29T20:25:12Z</dcterms:modified>
</cp:coreProperties>
</file>