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PULSE" sheetId="1" state="visible" r:id="rId1"/>
    <sheet name="INNOVATION_LAB" sheetId="2" state="visible" r:id="rId2"/>
    <sheet name="STRATEGY_COCKPIT" sheetId="3" state="visible" r:id="rId3"/>
    <sheet name="UPLOAD_READY_MARKETING" sheetId="4" state="visible" r:id="rId4"/>
    <sheet name="UPLOAD_READY_INNOV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"/>
  </numFmts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5" fontId="0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0" borderId="0" pivotButton="0" quotePrefix="0" xfId="0"/>
    <xf numFmtId="0" fontId="0" fillId="6" borderId="1" applyAlignment="1" pivotButton="0" quotePrefix="0" xfId="0">
      <alignment horizontal="center"/>
    </xf>
    <xf numFmtId="166" fontId="0" fillId="6" borderId="1" pivotButton="0" quotePrefix="0" xfId="0"/>
    <xf numFmtId="0" fontId="4" fillId="0" borderId="0" pivotButton="0" quotePrefix="0" xfId="0"/>
    <xf numFmtId="166" fontId="4" fillId="7" borderId="0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wrapText="1"/>
    </xf>
    <xf numFmtId="3" fontId="0" fillId="8" borderId="1" pivotButton="0" quotePrefix="0" xfId="0"/>
    <xf numFmtId="0" fontId="6" fillId="3" borderId="1" pivotButton="0" quotePrefix="0" xfId="0"/>
    <xf numFmtId="3" fontId="0" fillId="6" borderId="1" pivotButton="0" quotePrefix="0" xfId="0"/>
    <xf numFmtId="166" fontId="0" fillId="7" borderId="1" pivotButton="0" quotePrefix="0" xfId="0"/>
    <xf numFmtId="166" fontId="4" fillId="4" borderId="1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4" borderId="0" pivotButton="0" quotePrefix="0" xfId="0"/>
    <xf numFmtId="0" fontId="3" fillId="2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Competitive Positioning Matrix</a:t>
            </a:r>
          </a:p>
        </rich>
      </tx>
    </title>
    <plotArea>
      <scatterChart>
        <ser>
          <idx val="0"/>
          <order val="0"/>
          <tx>
            <v>My Product</v>
          </tx>
          <spPr>
            <a:solidFill>
              <a:srgbClr val="4472C4"/>
            </a:solidFill>
            <a:ln>
              <a:prstDash val="solid"/>
            </a:ln>
          </spPr>
          <marker>
            <symbol val="circle"/>
            <size val="12"/>
            <spPr>
              <a:ln>
                <a:prstDash val="solid"/>
              </a:ln>
            </spPr>
          </marker>
          <xVal>
            <numRef>
              <f>'SEGMENT_PULSE'!$I$4</f>
            </numRef>
          </xVal>
          <yVal>
            <numRef>
              <f>'SEGMENT_PULSE'!$J$4</f>
            </numRef>
          </yVal>
        </ser>
        <ser>
          <idx val="1"/>
          <order val="1"/>
          <tx>
            <v>Competitors</v>
          </tx>
          <spPr>
            <a:solidFill>
              <a:srgbClr val="ED7D31"/>
            </a:solidFill>
            <a:ln>
              <a:prstDash val="solid"/>
            </a:ln>
          </spPr>
          <marker>
            <symbol val="diamond"/>
            <size val="12"/>
            <spPr>
              <a:ln>
                <a:prstDash val="solid"/>
              </a:ln>
            </spPr>
          </marker>
          <xVal>
            <numRef>
              <f>'SEGMENT_PULSE'!$I$5</f>
            </numRef>
          </xVal>
          <yVal>
            <numRef>
              <f>'SEGMENT_PULSE'!$J$5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Attractiveness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High vs Low Segment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'SEGMENT_PULSE'!I26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'SEGMENT_PULSE'!$I$27:$I$29</f>
            </numRef>
          </val>
        </ser>
        <ser>
          <idx val="1"/>
          <order val="1"/>
          <tx>
            <strRef>
              <f>'SEGMENT_PULSE'!J26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'SEGMENT_PULSE'!$J$27:$J$29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4" customWidth="1" min="5" max="5"/>
    <col width="32" customWidth="1" min="6" max="6"/>
    <col width="18" customWidth="1" min="8" max="8"/>
    <col width="14" customWidth="1" min="9" max="9"/>
    <col width="14" customWidth="1" min="10" max="10"/>
  </cols>
  <sheetData>
    <row r="1">
      <c r="A1" s="1" t="inlineStr">
        <is>
          <t>SEGMENT PULSE - Market Allocation Drivers</t>
        </is>
      </c>
      <c r="H1" s="2" t="inlineStr">
        <is>
          <t>COMPETITIVE POSITIONING</t>
        </is>
      </c>
    </row>
    <row r="3">
      <c r="A3" s="2" t="inlineStr">
        <is>
          <t>HIGH SEGMENT ANALYSIS</t>
        </is>
      </c>
      <c r="H3" s="3" t="inlineStr">
        <is>
          <t>Entity</t>
        </is>
      </c>
      <c r="I3" s="3" t="inlineStr">
        <is>
          <t>Price</t>
        </is>
      </c>
      <c r="J3" s="3" t="inlineStr">
        <is>
          <t>Attractiveness</t>
        </is>
      </c>
    </row>
    <row r="4">
      <c r="A4" s="3" t="inlineStr">
        <is>
          <t>Zone</t>
        </is>
      </c>
      <c r="B4" s="3" t="inlineStr">
        <is>
          <t>My Market Share</t>
        </is>
      </c>
      <c r="C4" s="3" t="inlineStr">
        <is>
          <t>Awareness Gap</t>
        </is>
      </c>
      <c r="D4" s="3" t="inlineStr">
        <is>
          <t>Price Gap</t>
        </is>
      </c>
      <c r="E4" s="3" t="inlineStr">
        <is>
          <t>Attractiveness</t>
        </is>
      </c>
      <c r="F4" s="3" t="inlineStr">
        <is>
          <t>Allocation Flag</t>
        </is>
      </c>
      <c r="H4" s="4" t="inlineStr">
        <is>
          <t>My Product</t>
        </is>
      </c>
      <c r="I4" s="5" t="n">
        <v>50.286</v>
      </c>
      <c r="J4" s="4" t="n">
        <v>14.96</v>
      </c>
    </row>
    <row r="5">
      <c r="A5" s="4" t="inlineStr">
        <is>
          <t>Center</t>
        </is>
      </c>
      <c r="B5" s="6" t="n">
        <v>31.7</v>
      </c>
      <c r="C5" s="7" t="n">
        <v>-21.13333333333334</v>
      </c>
      <c r="D5" s="8" t="n">
        <v>0.1114059235182913</v>
      </c>
      <c r="E5" s="4" t="n">
        <v>30.21</v>
      </c>
      <c r="F5" s="9" t="inlineStr">
        <is>
          <t>CRITICAL: Boost TV for Allocation</t>
        </is>
      </c>
      <c r="H5" s="4" t="inlineStr">
        <is>
          <t>Competitors</t>
        </is>
      </c>
      <c r="I5" s="5" t="n">
        <v>50.622</v>
      </c>
      <c r="J5" s="4" t="n">
        <v>0</v>
      </c>
    </row>
    <row r="6">
      <c r="A6" s="4" t="inlineStr">
        <is>
          <t>West</t>
        </is>
      </c>
      <c r="B6" s="6" t="n">
        <v>21.8</v>
      </c>
      <c r="C6" s="7" t="n">
        <v>-14.02333333333333</v>
      </c>
      <c r="D6" s="8" t="n">
        <v>-0.0881673405396485</v>
      </c>
      <c r="E6" s="4" t="n">
        <v>19.24</v>
      </c>
      <c r="F6" s="9" t="inlineStr">
        <is>
          <t>CRITICAL: Boost TV for Allocation</t>
        </is>
      </c>
    </row>
    <row r="7">
      <c r="A7" s="4" t="inlineStr">
        <is>
          <t>North</t>
        </is>
      </c>
      <c r="B7" s="6" t="n">
        <v>26</v>
      </c>
      <c r="C7" s="4" t="n">
        <v>2.043333333333337</v>
      </c>
      <c r="D7" s="8" t="n">
        <v>-0.08011511325659113</v>
      </c>
      <c r="E7" s="4" t="n">
        <v>25.35</v>
      </c>
      <c r="F7" s="10" t="inlineStr">
        <is>
          <t>OK</t>
        </is>
      </c>
    </row>
    <row r="8">
      <c r="A8" s="4" t="inlineStr">
        <is>
          <t>East</t>
        </is>
      </c>
      <c r="B8" s="8" t="n">
        <v>0</v>
      </c>
      <c r="C8" s="4" t="n">
        <v>0</v>
      </c>
      <c r="D8" s="8" t="n">
        <v>0</v>
      </c>
      <c r="E8" s="4" t="n">
        <v>0</v>
      </c>
      <c r="F8" s="9" t="inlineStr">
        <is>
          <t>CRITICAL: Boost TV for Allocation</t>
        </is>
      </c>
    </row>
    <row r="9">
      <c r="A9" s="4" t="inlineStr">
        <is>
          <t>South</t>
        </is>
      </c>
      <c r="B9" s="8" t="n">
        <v>0</v>
      </c>
      <c r="C9" s="4" t="n">
        <v>0</v>
      </c>
      <c r="D9" s="8" t="n">
        <v>0</v>
      </c>
      <c r="E9" s="4" t="n">
        <v>0</v>
      </c>
      <c r="F9" s="9" t="inlineStr">
        <is>
          <t>CRITICAL: Boost TV for Allocation</t>
        </is>
      </c>
    </row>
    <row r="12">
      <c r="A12" s="2" t="inlineStr">
        <is>
          <t>LOW SEGMENT ANALYSIS</t>
        </is>
      </c>
    </row>
    <row r="13">
      <c r="A13" s="3" t="inlineStr">
        <is>
          <t>Zone</t>
        </is>
      </c>
      <c r="B13" s="3" t="inlineStr">
        <is>
          <t>My Market Share</t>
        </is>
      </c>
      <c r="C13" s="3" t="inlineStr">
        <is>
          <t>Awareness Gap</t>
        </is>
      </c>
      <c r="D13" s="3" t="inlineStr">
        <is>
          <t>Price Gap</t>
        </is>
      </c>
      <c r="E13" s="3" t="inlineStr">
        <is>
          <t>Attractiveness</t>
        </is>
      </c>
      <c r="F13" s="3" t="inlineStr">
        <is>
          <t>Allocation Flag</t>
        </is>
      </c>
    </row>
    <row r="14">
      <c r="A14" s="4" t="inlineStr">
        <is>
          <t>Center</t>
        </is>
      </c>
      <c r="B14" s="6" t="n">
        <v>33.7</v>
      </c>
      <c r="C14" s="7" t="n">
        <v>-7.606666666666666</v>
      </c>
      <c r="D14" s="8" t="n">
        <v>0.1114059235182913</v>
      </c>
      <c r="E14" s="4" t="n">
        <v>30.21</v>
      </c>
      <c r="F14" s="11" t="inlineStr">
        <is>
          <t>RISK: Losing Volume to Price</t>
        </is>
      </c>
    </row>
    <row r="15">
      <c r="A15" s="4" t="inlineStr">
        <is>
          <t>West</t>
        </is>
      </c>
      <c r="B15" s="6" t="n">
        <v>18.8</v>
      </c>
      <c r="C15" s="7" t="n">
        <v>-0.5033333333333339</v>
      </c>
      <c r="D15" s="8" t="n">
        <v>-0.0881673405396485</v>
      </c>
      <c r="E15" s="4" t="n">
        <v>19.24</v>
      </c>
      <c r="F15" s="10" t="inlineStr">
        <is>
          <t>OK</t>
        </is>
      </c>
    </row>
    <row r="16">
      <c r="A16" s="4" t="inlineStr">
        <is>
          <t>North</t>
        </is>
      </c>
      <c r="B16" s="6" t="n">
        <v>20.7</v>
      </c>
      <c r="C16" s="4" t="n">
        <v>2.529999999999994</v>
      </c>
      <c r="D16" s="8" t="n">
        <v>-0.08011511325659113</v>
      </c>
      <c r="E16" s="4" t="n">
        <v>25.35</v>
      </c>
      <c r="F16" s="10" t="inlineStr">
        <is>
          <t>OK</t>
        </is>
      </c>
    </row>
    <row r="17">
      <c r="A17" s="4" t="inlineStr">
        <is>
          <t>East</t>
        </is>
      </c>
      <c r="B17" s="8" t="n">
        <v>0</v>
      </c>
      <c r="C17" s="4" t="n">
        <v>0</v>
      </c>
      <c r="D17" s="8" t="n">
        <v>0</v>
      </c>
      <c r="E17" s="4" t="n">
        <v>0</v>
      </c>
      <c r="F17" s="10" t="inlineStr">
        <is>
          <t>OK</t>
        </is>
      </c>
    </row>
    <row r="18">
      <c r="A18" s="4" t="inlineStr">
        <is>
          <t>South</t>
        </is>
      </c>
      <c r="B18" s="8" t="n">
        <v>0</v>
      </c>
      <c r="C18" s="4" t="n">
        <v>0</v>
      </c>
      <c r="D18" s="8" t="n">
        <v>0</v>
      </c>
      <c r="E18" s="4" t="n">
        <v>0</v>
      </c>
      <c r="F18" s="10" t="inlineStr">
        <is>
          <t>OK</t>
        </is>
      </c>
    </row>
    <row r="24">
      <c r="H24" s="2" t="inlineStr">
        <is>
          <t>HIGH vs LOW SEGMENT GAP</t>
        </is>
      </c>
    </row>
    <row r="26">
      <c r="H26" s="3" t="inlineStr">
        <is>
          <t>Metric</t>
        </is>
      </c>
      <c r="I26" s="3" t="inlineStr">
        <is>
          <t>High Segment</t>
        </is>
      </c>
      <c r="J26" s="3" t="inlineStr">
        <is>
          <t>Low Segment</t>
        </is>
      </c>
    </row>
    <row r="27">
      <c r="H27" s="4" t="inlineStr">
        <is>
          <t>Awareness</t>
        </is>
      </c>
      <c r="I27" s="4" t="n">
        <v>24.584</v>
      </c>
      <c r="J27" s="4" t="n">
        <v>24.584</v>
      </c>
    </row>
    <row r="28">
      <c r="H28" s="4" t="inlineStr">
        <is>
          <t>Price Competitiveness</t>
        </is>
      </c>
      <c r="I28" s="4" t="n">
        <v>98.86246939444104</v>
      </c>
      <c r="J28" s="4" t="n">
        <v>98.86246939444104</v>
      </c>
    </row>
    <row r="29">
      <c r="H29" s="4" t="inlineStr">
        <is>
          <t>Attractiveness</t>
        </is>
      </c>
      <c r="I29" s="4" t="n">
        <v>14.96</v>
      </c>
      <c r="J29" s="4" t="n">
        <v>14.96</v>
      </c>
    </row>
  </sheetData>
  <conditionalFormatting sqref="B5:B9">
    <cfRule type="dataBar" priority="1">
      <dataBar showValue="1">
        <cfvo type="num" val="0"/>
        <cfvo type="num" val="50"/>
        <color rgb="0063C384"/>
      </dataBar>
    </cfRule>
  </conditionalFormatting>
  <conditionalFormatting sqref="B14:B18">
    <cfRule type="dataBar" priority="2">
      <dataBar showValue="1">
        <cfvo type="num" val="0"/>
        <cfvo type="num" val="50"/>
        <color rgb="0063C384"/>
      </dataBar>
    </cfRule>
  </conditionalFormatting>
  <conditionalFormatting sqref="C5:C9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C13:C17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D5:D9">
    <cfRule type="expression" priority="5" dxfId="0">
      <formula>D5&gt;0.1</formula>
    </cfRule>
  </conditionalFormatting>
  <conditionalFormatting sqref="D13:D17">
    <cfRule type="expression" priority="5" dxfId="0">
      <formula>D5&gt;0.1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</cols>
  <sheetData>
    <row r="1">
      <c r="A1" s="1" t="inlineStr">
        <is>
          <t>INNOVATION LAB - Feature Selection</t>
        </is>
      </c>
    </row>
    <row r="2">
      <c r="A2" s="12" t="inlineStr">
        <is>
          <t>Note: Innovations increase Attractiveness. Required for High Segment Allocation.</t>
        </is>
      </c>
    </row>
    <row r="4">
      <c r="A4" s="3" t="inlineStr">
        <is>
          <t>Feature Name</t>
        </is>
      </c>
      <c r="B4" s="3" t="inlineStr">
        <is>
          <t>Decision (1=Yes)</t>
        </is>
      </c>
      <c r="C4" s="3" t="inlineStr">
        <is>
          <t>Est. Cost ($)</t>
        </is>
      </c>
    </row>
    <row r="5">
      <c r="A5" s="4" t="inlineStr">
        <is>
          <t>STAINLESS MATERIAL</t>
        </is>
      </c>
      <c r="B5" s="13" t="n">
        <v>0</v>
      </c>
      <c r="C5" s="14" t="n">
        <v>10000</v>
      </c>
    </row>
    <row r="6">
      <c r="A6" s="4" t="inlineStr">
        <is>
          <t>RECYCLABLE MATERIALS</t>
        </is>
      </c>
      <c r="B6" s="13" t="n">
        <v>0</v>
      </c>
      <c r="C6" s="14" t="n">
        <v>10000</v>
      </c>
    </row>
    <row r="7">
      <c r="A7" s="4" t="inlineStr">
        <is>
          <t>ENERGY EFFICIENCY</t>
        </is>
      </c>
      <c r="B7" s="13" t="n">
        <v>0</v>
      </c>
      <c r="C7" s="14" t="n">
        <v>10000</v>
      </c>
    </row>
    <row r="8">
      <c r="A8" s="4" t="inlineStr">
        <is>
          <t>LIGHTER AND MORE COMPACT</t>
        </is>
      </c>
      <c r="B8" s="13" t="n">
        <v>0</v>
      </c>
      <c r="C8" s="14" t="n">
        <v>10000</v>
      </c>
    </row>
    <row r="9">
      <c r="A9" s="4" t="inlineStr">
        <is>
          <t>IMPACT RESISTANCE</t>
        </is>
      </c>
      <c r="B9" s="13" t="n">
        <v>0</v>
      </c>
      <c r="C9" s="14" t="n">
        <v>10000</v>
      </c>
    </row>
    <row r="10">
      <c r="A10" s="4" t="inlineStr">
        <is>
          <t>NOISE REDUCTION</t>
        </is>
      </c>
      <c r="B10" s="13" t="n">
        <v>0</v>
      </c>
      <c r="C10" s="14" t="n">
        <v>10000</v>
      </c>
    </row>
    <row r="11">
      <c r="A11" s="4" t="inlineStr">
        <is>
          <t>IMPROVED BATTERY CAPACITY</t>
        </is>
      </c>
      <c r="B11" s="13" t="n">
        <v>0</v>
      </c>
      <c r="C11" s="14" t="n">
        <v>10000</v>
      </c>
    </row>
    <row r="12">
      <c r="A12" s="4" t="inlineStr">
        <is>
          <t>SELF-CLEANING</t>
        </is>
      </c>
      <c r="B12" s="13" t="n">
        <v>0</v>
      </c>
      <c r="C12" s="14" t="n">
        <v>10000</v>
      </c>
    </row>
    <row r="13">
      <c r="A13" s="4" t="inlineStr">
        <is>
          <t>SPEED SETTINGS</t>
        </is>
      </c>
      <c r="B13" s="13" t="n">
        <v>0</v>
      </c>
      <c r="C13" s="14" t="n">
        <v>10000</v>
      </c>
    </row>
    <row r="14">
      <c r="A14" s="4" t="inlineStr">
        <is>
          <t>DIGITAL CONTROLS</t>
        </is>
      </c>
      <c r="B14" s="13" t="n">
        <v>0</v>
      </c>
      <c r="C14" s="14" t="n">
        <v>10000</v>
      </c>
    </row>
    <row r="15">
      <c r="A15" s="4" t="inlineStr">
        <is>
          <t>VOICE ASSISTANCE INTEGRATION</t>
        </is>
      </c>
      <c r="B15" s="13" t="n">
        <v>0</v>
      </c>
      <c r="C15" s="14" t="n">
        <v>10000</v>
      </c>
    </row>
    <row r="16">
      <c r="A16" s="4" t="inlineStr">
        <is>
          <t>AUTOMATION AND PROGRAMMABILITY</t>
        </is>
      </c>
      <c r="B16" s="13" t="n">
        <v>0</v>
      </c>
      <c r="C16" s="14" t="n">
        <v>10000</v>
      </c>
    </row>
    <row r="17">
      <c r="A17" s="4" t="inlineStr">
        <is>
          <t>MULTIFUNCTIONAL ACCESSORIES</t>
        </is>
      </c>
      <c r="B17" s="13" t="n">
        <v>0</v>
      </c>
      <c r="C17" s="14" t="n">
        <v>10000</v>
      </c>
    </row>
    <row r="18">
      <c r="A18" s="4" t="inlineStr">
        <is>
          <t>MAPPING TECHNOLOGY</t>
        </is>
      </c>
      <c r="B18" s="13" t="n">
        <v>0</v>
      </c>
      <c r="C18" s="14" t="n">
        <v>10000</v>
      </c>
    </row>
    <row r="20">
      <c r="A20" s="15" t="inlineStr">
        <is>
          <t>TOTAL INNOVATION COST</t>
        </is>
      </c>
      <c r="C20" s="16">
        <f>SUMPRODUCT(B5:B18,C5:C18)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2" t="inlineStr">
        <is>
          <t>HOW TO USE: Adjust Yellow cells. Check Profit Projection. Go to UPLOAD_READY tabs to copy decisions.</t>
        </is>
      </c>
    </row>
    <row r="3">
      <c r="A3" s="2" t="inlineStr">
        <is>
          <t>SECTION A: GLOBAL ALLOCATIONS</t>
        </is>
      </c>
    </row>
    <row r="5">
      <c r="A5" s="4" t="inlineStr">
        <is>
          <t>TV Budget ($)</t>
        </is>
      </c>
      <c r="B5" s="14" t="n">
        <v>0</v>
      </c>
      <c r="C5" s="12" t="inlineStr">
        <is>
          <t>Primary Driver: High Segment Awareness</t>
        </is>
      </c>
    </row>
    <row r="6">
      <c r="A6" s="4" t="inlineStr">
        <is>
          <t>Brand Focus (0-100)</t>
        </is>
      </c>
      <c r="B6" s="17" t="n">
        <v>0</v>
      </c>
      <c r="C6" s="12" t="inlineStr">
        <is>
          <t>0=Awareness focus, 100=Attributes focus</t>
        </is>
      </c>
    </row>
    <row r="9">
      <c r="A9" s="2" t="inlineStr">
        <is>
          <t>SECTION B: ZONAL ALLOCATIONS</t>
        </is>
      </c>
    </row>
    <row r="11">
      <c r="A11" s="18" t="inlineStr">
        <is>
          <t>Zone</t>
        </is>
      </c>
      <c r="B11" s="18" t="inlineStr">
        <is>
          <t>Last Sales</t>
        </is>
      </c>
      <c r="C11" s="18" t="inlineStr">
        <is>
          <t>Stockout?</t>
        </is>
      </c>
      <c r="D11" s="18" t="inlineStr">
        <is>
          <t>Target Demand</t>
        </is>
      </c>
      <c r="E11" s="18" t="inlineStr">
        <is>
          <t>Radio Budget</t>
        </is>
      </c>
      <c r="F11" s="18" t="inlineStr">
        <is>
          <t>Salespeople</t>
        </is>
      </c>
      <c r="G11" s="18" t="inlineStr">
        <is>
          <t>Price</t>
        </is>
      </c>
      <c r="H11" s="18" t="inlineStr">
        <is>
          <t>Payment</t>
        </is>
      </c>
      <c r="I11" s="18" t="inlineStr">
        <is>
          <t>Est. Revenue</t>
        </is>
      </c>
      <c r="J11" s="18" t="inlineStr">
        <is>
          <t>Mkt Cost</t>
        </is>
      </c>
      <c r="K11" s="18" t="inlineStr">
        <is>
          <t>Contribution</t>
        </is>
      </c>
    </row>
    <row r="12">
      <c r="A12" s="4" t="inlineStr">
        <is>
          <t>Center</t>
        </is>
      </c>
      <c r="B12" s="19" t="n">
        <v>6770</v>
      </c>
      <c r="C12" s="20" t="inlineStr">
        <is>
          <t>TRUE DEMAND HIGHER</t>
        </is>
      </c>
      <c r="D12" s="21" t="n">
        <v>7447</v>
      </c>
      <c r="E12" s="14" t="n">
        <v>0</v>
      </c>
      <c r="F12" s="17" t="n">
        <v>0</v>
      </c>
      <c r="G12" s="14" t="n">
        <v>0</v>
      </c>
      <c r="H12" s="13" t="inlineStr"/>
      <c r="I12" s="22">
        <f>D12*G12</f>
        <v/>
      </c>
      <c r="J12" s="22">
        <f>($B$5/5)+E12+(F12*0)+(INNOVATION_LAB!C20/5)</f>
        <v/>
      </c>
      <c r="K12" s="23">
        <f>I12-J12-(D12*0)</f>
        <v/>
      </c>
    </row>
    <row r="13">
      <c r="A13" s="4" t="inlineStr">
        <is>
          <t>West</t>
        </is>
      </c>
      <c r="B13" s="19" t="n">
        <v>5864</v>
      </c>
      <c r="C13" s="20" t="inlineStr">
        <is>
          <t>TRUE DEMAND HIGHER</t>
        </is>
      </c>
      <c r="D13" s="21" t="n">
        <v>6450</v>
      </c>
      <c r="E13" s="14" t="n">
        <v>0</v>
      </c>
      <c r="F13" s="17" t="n">
        <v>0</v>
      </c>
      <c r="G13" s="14" t="n">
        <v>0</v>
      </c>
      <c r="H13" s="13" t="inlineStr"/>
      <c r="I13" s="22">
        <f>D13*G13</f>
        <v/>
      </c>
      <c r="J13" s="22">
        <f>($B$5/5)+E13+(F13*0)+(INNOVATION_LAB!C20/5)</f>
        <v/>
      </c>
      <c r="K13" s="23">
        <f>I13-J13-(D13*0)</f>
        <v/>
      </c>
    </row>
    <row r="14">
      <c r="A14" s="4" t="inlineStr">
        <is>
          <t>North</t>
        </is>
      </c>
      <c r="B14" s="19" t="n">
        <v>5500</v>
      </c>
      <c r="C14" s="20" t="inlineStr">
        <is>
          <t>TRUE DEMAND HIGHER</t>
        </is>
      </c>
      <c r="D14" s="21" t="n">
        <v>6050</v>
      </c>
      <c r="E14" s="14" t="n">
        <v>0</v>
      </c>
      <c r="F14" s="17" t="n">
        <v>0</v>
      </c>
      <c r="G14" s="14" t="n">
        <v>0</v>
      </c>
      <c r="H14" s="13" t="inlineStr"/>
      <c r="I14" s="22">
        <f>D14*G14</f>
        <v/>
      </c>
      <c r="J14" s="22">
        <f>($B$5/5)+E14+(F14*0)+(INNOVATION_LAB!C20/5)</f>
        <v/>
      </c>
      <c r="K14" s="23">
        <f>I14-J14-(D14*0)</f>
        <v/>
      </c>
    </row>
    <row r="15">
      <c r="A15" s="4" t="inlineStr">
        <is>
          <t>East</t>
        </is>
      </c>
      <c r="B15" s="19" t="n">
        <v>0</v>
      </c>
      <c r="C15" s="20" t="inlineStr">
        <is>
          <t>TRUE DEMAND HIGHER</t>
        </is>
      </c>
      <c r="D15" s="21" t="n">
        <v>0</v>
      </c>
      <c r="E15" s="14" t="n">
        <v>0</v>
      </c>
      <c r="F15" s="17" t="n">
        <v>0</v>
      </c>
      <c r="G15" s="14" t="n">
        <v>0</v>
      </c>
      <c r="H15" s="13" t="inlineStr"/>
      <c r="I15" s="22">
        <f>D15*G15</f>
        <v/>
      </c>
      <c r="J15" s="22">
        <f>($B$5/5)+E15+(F15*0)+(INNOVATION_LAB!C20/5)</f>
        <v/>
      </c>
      <c r="K15" s="23">
        <f>I15-J15-(D15*0)</f>
        <v/>
      </c>
    </row>
    <row r="16">
      <c r="A16" s="4" t="inlineStr">
        <is>
          <t>South</t>
        </is>
      </c>
      <c r="B16" s="19" t="n">
        <v>0</v>
      </c>
      <c r="C16" s="20" t="inlineStr">
        <is>
          <t>TRUE DEMAND HIGHER</t>
        </is>
      </c>
      <c r="D16" s="21" t="n">
        <v>0</v>
      </c>
      <c r="E16" s="14" t="n">
        <v>0</v>
      </c>
      <c r="F16" s="17" t="n">
        <v>0</v>
      </c>
      <c r="G16" s="14" t="n">
        <v>0</v>
      </c>
      <c r="H16" s="13" t="inlineStr"/>
      <c r="I16" s="22">
        <f>D16*G16</f>
        <v/>
      </c>
      <c r="J16" s="22">
        <f>($B$5/5)+E16+(F16*0)+(INNOVATION_LAB!C20/5)</f>
        <v/>
      </c>
      <c r="K16" s="23">
        <f>I16-J16-(D16*0)</f>
        <v/>
      </c>
    </row>
    <row r="17">
      <c r="A17" s="15" t="inlineStr">
        <is>
          <t>TOTAL</t>
        </is>
      </c>
      <c r="D17" s="24">
        <f>SUM(D12:D16)</f>
        <v/>
      </c>
      <c r="I17" s="25">
        <f>SUM(I12:I16)</f>
        <v/>
      </c>
      <c r="J17" s="25">
        <f>SUM(J12:J16)</f>
        <v/>
      </c>
      <c r="K17" s="26">
        <f>SUM(K12:K16)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DECISIONS - ExSim Upload Format</t>
        </is>
      </c>
    </row>
    <row r="2">
      <c r="A2" s="12" t="inlineStr">
        <is>
          <t>Copy these values to ExSim Marketing upload</t>
        </is>
      </c>
    </row>
    <row r="4">
      <c r="A4" s="2" t="inlineStr">
        <is>
          <t>Marketing Campaigns</t>
        </is>
      </c>
      <c r="G4" s="2" t="inlineStr">
        <is>
          <t>Demand</t>
        </is>
      </c>
      <c r="J4" s="2" t="inlineStr">
        <is>
          <t>Pricing Strategy</t>
        </is>
      </c>
      <c r="N4" s="2" t="inlineStr">
        <is>
          <t>Channels</t>
        </is>
      </c>
    </row>
    <row r="5">
      <c r="A5" s="3" t="inlineStr">
        <is>
          <t>Brand</t>
        </is>
      </c>
      <c r="B5" s="3" t="inlineStr">
        <is>
          <t>Zone</t>
        </is>
      </c>
      <c r="C5" s="3" t="inlineStr">
        <is>
          <t>Channel</t>
        </is>
      </c>
      <c r="D5" s="3" t="inlineStr">
        <is>
          <t>Amount</t>
        </is>
      </c>
      <c r="E5" s="3" t="inlineStr">
        <is>
          <t>Brand Focus</t>
        </is>
      </c>
      <c r="G5" s="27" t="inlineStr">
        <is>
          <t>Zone</t>
        </is>
      </c>
      <c r="H5" s="27" t="inlineStr">
        <is>
          <t>Demand</t>
        </is>
      </c>
      <c r="J5" s="27" t="inlineStr">
        <is>
          <t>Zone</t>
        </is>
      </c>
      <c r="K5" s="27" t="inlineStr">
        <is>
          <t>Brand</t>
        </is>
      </c>
      <c r="L5" s="27" t="inlineStr">
        <is>
          <t>Price</t>
        </is>
      </c>
      <c r="N5" s="27" t="inlineStr">
        <is>
          <t>Zone</t>
        </is>
      </c>
      <c r="O5" s="27" t="inlineStr">
        <is>
          <t>Payment</t>
        </is>
      </c>
      <c r="P5" s="27" t="inlineStr">
        <is>
          <t>Salespeople</t>
        </is>
      </c>
    </row>
    <row r="6">
      <c r="A6" s="4" t="inlineStr">
        <is>
          <t>A</t>
        </is>
      </c>
      <c r="B6" s="4" t="inlineStr">
        <is>
          <t>All</t>
        </is>
      </c>
      <c r="C6" s="4" t="inlineStr">
        <is>
          <t>TV</t>
        </is>
      </c>
      <c r="D6" s="4">
        <f>STRATEGY_COCKPIT!B5</f>
        <v/>
      </c>
      <c r="E6" s="4">
        <f>STRATEGY_COCKPIT!B6</f>
        <v/>
      </c>
      <c r="G6" s="4" t="inlineStr">
        <is>
          <t>Center</t>
        </is>
      </c>
      <c r="H6" s="4">
        <f>STRATEGY_COCKPIT!D12</f>
        <v/>
      </c>
      <c r="J6" s="4" t="inlineStr">
        <is>
          <t>Center</t>
        </is>
      </c>
      <c r="K6" s="4" t="inlineStr">
        <is>
          <t>A</t>
        </is>
      </c>
      <c r="L6" s="4">
        <f>STRATEGY_COCKPIT!G12</f>
        <v/>
      </c>
      <c r="N6" s="4" t="inlineStr">
        <is>
          <t>Center</t>
        </is>
      </c>
      <c r="O6" s="4">
        <f>STRATEGY_COCKPIT!H12</f>
        <v/>
      </c>
      <c r="P6" s="4">
        <f>STRATEGY_COCKPIT!F12</f>
        <v/>
      </c>
    </row>
    <row r="7">
      <c r="A7" s="4" t="inlineStr">
        <is>
          <t>A</t>
        </is>
      </c>
      <c r="B7" s="4" t="inlineStr">
        <is>
          <t>Center</t>
        </is>
      </c>
      <c r="C7" s="4" t="inlineStr">
        <is>
          <t>Radio</t>
        </is>
      </c>
      <c r="D7" s="4">
        <f>STRATEGY_COCKPIT!E12</f>
        <v/>
      </c>
      <c r="E7" s="4">
        <f>STRATEGY_COCKPIT!B6</f>
        <v/>
      </c>
      <c r="G7" s="4" t="inlineStr">
        <is>
          <t>West</t>
        </is>
      </c>
      <c r="H7" s="4">
        <f>STRATEGY_COCKPIT!D13</f>
        <v/>
      </c>
      <c r="J7" s="4" t="inlineStr">
        <is>
          <t>West</t>
        </is>
      </c>
      <c r="K7" s="4" t="inlineStr">
        <is>
          <t>A</t>
        </is>
      </c>
      <c r="L7" s="4">
        <f>STRATEGY_COCKPIT!G13</f>
        <v/>
      </c>
      <c r="N7" s="4" t="inlineStr">
        <is>
          <t>West</t>
        </is>
      </c>
      <c r="O7" s="4">
        <f>STRATEGY_COCKPIT!H13</f>
        <v/>
      </c>
      <c r="P7" s="4">
        <f>STRATEGY_COCKPIT!F13</f>
        <v/>
      </c>
    </row>
    <row r="8">
      <c r="A8" s="4" t="inlineStr">
        <is>
          <t>A</t>
        </is>
      </c>
      <c r="B8" s="4" t="inlineStr">
        <is>
          <t>West</t>
        </is>
      </c>
      <c r="C8" s="4" t="inlineStr">
        <is>
          <t>Radio</t>
        </is>
      </c>
      <c r="D8" s="4">
        <f>STRATEGY_COCKPIT!E13</f>
        <v/>
      </c>
      <c r="E8" s="4">
        <f>STRATEGY_COCKPIT!B6</f>
        <v/>
      </c>
      <c r="G8" s="4" t="inlineStr">
        <is>
          <t>North</t>
        </is>
      </c>
      <c r="H8" s="4">
        <f>STRATEGY_COCKPIT!D14</f>
        <v/>
      </c>
      <c r="J8" s="4" t="inlineStr">
        <is>
          <t>North</t>
        </is>
      </c>
      <c r="K8" s="4" t="inlineStr">
        <is>
          <t>A</t>
        </is>
      </c>
      <c r="L8" s="4">
        <f>STRATEGY_COCKPIT!G14</f>
        <v/>
      </c>
      <c r="N8" s="4" t="inlineStr">
        <is>
          <t>North</t>
        </is>
      </c>
      <c r="O8" s="4">
        <f>STRATEGY_COCKPIT!H14</f>
        <v/>
      </c>
      <c r="P8" s="4">
        <f>STRATEGY_COCKPIT!F14</f>
        <v/>
      </c>
    </row>
    <row r="9">
      <c r="A9" s="4" t="inlineStr">
        <is>
          <t>A</t>
        </is>
      </c>
      <c r="B9" s="4" t="inlineStr">
        <is>
          <t>North</t>
        </is>
      </c>
      <c r="C9" s="4" t="inlineStr">
        <is>
          <t>Radio</t>
        </is>
      </c>
      <c r="D9" s="4">
        <f>STRATEGY_COCKPIT!E14</f>
        <v/>
      </c>
      <c r="E9" s="4">
        <f>STRATEGY_COCKPIT!B6</f>
        <v/>
      </c>
      <c r="G9" s="4" t="inlineStr">
        <is>
          <t>East</t>
        </is>
      </c>
      <c r="H9" s="4">
        <f>STRATEGY_COCKPIT!D15</f>
        <v/>
      </c>
      <c r="J9" s="4" t="inlineStr">
        <is>
          <t>East</t>
        </is>
      </c>
      <c r="K9" s="4" t="inlineStr">
        <is>
          <t>A</t>
        </is>
      </c>
      <c r="L9" s="4">
        <f>STRATEGY_COCKPIT!G15</f>
        <v/>
      </c>
      <c r="N9" s="4" t="inlineStr">
        <is>
          <t>East</t>
        </is>
      </c>
      <c r="O9" s="4">
        <f>STRATEGY_COCKPIT!H15</f>
        <v/>
      </c>
      <c r="P9" s="4">
        <f>STRATEGY_COCKPIT!F15</f>
        <v/>
      </c>
    </row>
    <row r="10">
      <c r="A10" s="4" t="inlineStr">
        <is>
          <t>A</t>
        </is>
      </c>
      <c r="B10" s="4" t="inlineStr">
        <is>
          <t>East</t>
        </is>
      </c>
      <c r="C10" s="4" t="inlineStr">
        <is>
          <t>Radio</t>
        </is>
      </c>
      <c r="D10" s="4">
        <f>STRATEGY_COCKPIT!E15</f>
        <v/>
      </c>
      <c r="E10" s="4">
        <f>STRATEGY_COCKPIT!B6</f>
        <v/>
      </c>
      <c r="G10" s="4" t="inlineStr">
        <is>
          <t>South</t>
        </is>
      </c>
      <c r="H10" s="4">
        <f>STRATEGY_COCKPIT!D16</f>
        <v/>
      </c>
      <c r="J10" s="4" t="inlineStr">
        <is>
          <t>South</t>
        </is>
      </c>
      <c r="K10" s="4" t="inlineStr">
        <is>
          <t>A</t>
        </is>
      </c>
      <c r="L10" s="4">
        <f>STRATEGY_COCKPIT!G16</f>
        <v/>
      </c>
      <c r="N10" s="4" t="inlineStr">
        <is>
          <t>South</t>
        </is>
      </c>
      <c r="O10" s="4">
        <f>STRATEGY_COCKPIT!H16</f>
        <v/>
      </c>
      <c r="P10" s="4">
        <f>STRATEGY_COCKPIT!F16</f>
        <v/>
      </c>
    </row>
    <row r="11">
      <c r="A11" s="4" t="inlineStr">
        <is>
          <t>A</t>
        </is>
      </c>
      <c r="B11" s="4" t="inlineStr">
        <is>
          <t>South</t>
        </is>
      </c>
      <c r="C11" s="4" t="inlineStr">
        <is>
          <t>Radio</t>
        </is>
      </c>
      <c r="D11" s="4">
        <f>STRATEGY_COCKPIT!E16</f>
        <v/>
      </c>
      <c r="E11" s="4">
        <f>STRATEGY_COCKPIT!B6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</cols>
  <sheetData>
    <row r="1">
      <c r="A1" s="1" t="inlineStr">
        <is>
          <t>INNOVATION DECISIONS - ExSim Upload Format</t>
        </is>
      </c>
    </row>
    <row r="2">
      <c r="A2" s="12" t="inlineStr">
        <is>
          <t>Copy these values to ExSim Innovation upload</t>
        </is>
      </c>
    </row>
    <row r="4">
      <c r="A4" s="27" t="inlineStr">
        <is>
          <t>Brand</t>
        </is>
      </c>
      <c r="B4" s="27" t="inlineStr">
        <is>
          <t>Improvement</t>
        </is>
      </c>
      <c r="C4" s="27" t="inlineStr">
        <is>
          <t>Value</t>
        </is>
      </c>
    </row>
    <row r="5">
      <c r="A5" s="4" t="inlineStr">
        <is>
          <t>A</t>
        </is>
      </c>
      <c r="B5" s="4" t="inlineStr">
        <is>
          <t>STAINLESS MATERIAL</t>
        </is>
      </c>
      <c r="C5" s="4">
        <f>INNOVATION_LAB!B5</f>
        <v/>
      </c>
    </row>
    <row r="6">
      <c r="A6" s="4" t="inlineStr">
        <is>
          <t>A</t>
        </is>
      </c>
      <c r="B6" s="4" t="inlineStr">
        <is>
          <t>RECYCLABLE MATERIALS</t>
        </is>
      </c>
      <c r="C6" s="4">
        <f>INNOVATION_LAB!B6</f>
        <v/>
      </c>
    </row>
    <row r="7">
      <c r="A7" s="4" t="inlineStr">
        <is>
          <t>A</t>
        </is>
      </c>
      <c r="B7" s="4" t="inlineStr">
        <is>
          <t>ENERGY EFFICIENCY</t>
        </is>
      </c>
      <c r="C7" s="4">
        <f>INNOVATION_LAB!B7</f>
        <v/>
      </c>
    </row>
    <row r="8">
      <c r="A8" s="4" t="inlineStr">
        <is>
          <t>A</t>
        </is>
      </c>
      <c r="B8" s="4" t="inlineStr">
        <is>
          <t>LIGHTER AND MORE COMPACT</t>
        </is>
      </c>
      <c r="C8" s="4">
        <f>INNOVATION_LAB!B8</f>
        <v/>
      </c>
    </row>
    <row r="9">
      <c r="A9" s="4" t="inlineStr">
        <is>
          <t>A</t>
        </is>
      </c>
      <c r="B9" s="4" t="inlineStr">
        <is>
          <t>IMPACT RESISTANCE</t>
        </is>
      </c>
      <c r="C9" s="4">
        <f>INNOVATION_LAB!B9</f>
        <v/>
      </c>
    </row>
    <row r="10">
      <c r="A10" s="4" t="inlineStr">
        <is>
          <t>A</t>
        </is>
      </c>
      <c r="B10" s="4" t="inlineStr">
        <is>
          <t>NOISE REDUCTION</t>
        </is>
      </c>
      <c r="C10" s="4">
        <f>INNOVATION_LAB!B10</f>
        <v/>
      </c>
    </row>
    <row r="11">
      <c r="A11" s="4" t="inlineStr">
        <is>
          <t>A</t>
        </is>
      </c>
      <c r="B11" s="4" t="inlineStr">
        <is>
          <t>IMPROVED BATTERY CAPACITY</t>
        </is>
      </c>
      <c r="C11" s="4">
        <f>INNOVATION_LAB!B11</f>
        <v/>
      </c>
    </row>
    <row r="12">
      <c r="A12" s="4" t="inlineStr">
        <is>
          <t>A</t>
        </is>
      </c>
      <c r="B12" s="4" t="inlineStr">
        <is>
          <t>SELF-CLEANING</t>
        </is>
      </c>
      <c r="C12" s="4">
        <f>INNOVATION_LAB!B12</f>
        <v/>
      </c>
    </row>
    <row r="13">
      <c r="A13" s="4" t="inlineStr">
        <is>
          <t>A</t>
        </is>
      </c>
      <c r="B13" s="4" t="inlineStr">
        <is>
          <t>SPEED SETTINGS</t>
        </is>
      </c>
      <c r="C13" s="4">
        <f>INNOVATION_LAB!B13</f>
        <v/>
      </c>
    </row>
    <row r="14">
      <c r="A14" s="4" t="inlineStr">
        <is>
          <t>A</t>
        </is>
      </c>
      <c r="B14" s="4" t="inlineStr">
        <is>
          <t>DIGITAL CONTROLS</t>
        </is>
      </c>
      <c r="C14" s="4">
        <f>INNOVATION_LAB!B14</f>
        <v/>
      </c>
    </row>
    <row r="15">
      <c r="A15" s="4" t="inlineStr">
        <is>
          <t>A</t>
        </is>
      </c>
      <c r="B15" s="4" t="inlineStr">
        <is>
          <t>VOICE ASSISTANCE INTEGRATION</t>
        </is>
      </c>
      <c r="C15" s="4">
        <f>INNOVATION_LAB!B15</f>
        <v/>
      </c>
    </row>
    <row r="16">
      <c r="A16" s="4" t="inlineStr">
        <is>
          <t>A</t>
        </is>
      </c>
      <c r="B16" s="4" t="inlineStr">
        <is>
          <t>AUTOMATION AND PROGRAMMABILITY</t>
        </is>
      </c>
      <c r="C16" s="4">
        <f>INNOVATION_LAB!B16</f>
        <v/>
      </c>
    </row>
    <row r="17">
      <c r="A17" s="4" t="inlineStr">
        <is>
          <t>A</t>
        </is>
      </c>
      <c r="B17" s="4" t="inlineStr">
        <is>
          <t>MULTIFUNCTIONAL ACCESSORIES</t>
        </is>
      </c>
      <c r="C17" s="4">
        <f>INNOVATION_LAB!B17</f>
        <v/>
      </c>
    </row>
    <row r="18">
      <c r="A18" s="4" t="inlineStr">
        <is>
          <t>A</t>
        </is>
      </c>
      <c r="B18" s="4" t="inlineStr">
        <is>
          <t>MAPPING TECHNOLOGY</t>
        </is>
      </c>
      <c r="C18" s="4">
        <f>INNOVATION_LAB!B18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2025-12-29T21:49:25Z</dcterms:created>
  <dcterms:modified xsi:type="dcterms:W3CDTF">2025-12-29T21:49:25Z</dcterms:modified>
</cp:coreProperties>
</file>