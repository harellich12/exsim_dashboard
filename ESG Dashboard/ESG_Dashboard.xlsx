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_CONFIG" sheetId="1" state="visible" r:id="rId1"/>
    <sheet name="STRATEGY_SELEC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0.0000"/>
    <numFmt numFmtId="167" formatCode="#,##0.0"/>
    <numFmt numFmtId="168" formatCode="0.0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164" fontId="5" fillId="11" borderId="1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Abatement Cost Curve (Cost vs Tax)</a:t>
            </a:r>
          </a:p>
        </rich>
      </tx>
    </title>
    <plotArea>
      <barChart>
        <barDir val="col"/>
        <grouping val="clustered"/>
        <ser>
          <idx val="0"/>
          <order val="0"/>
          <tx>
            <v>Cost Per Ton</v>
          </tx>
          <spPr>
            <a:ln>
              <a:prstDash val="solid"/>
            </a:ln>
          </spPr>
          <cat>
            <numRef>
              <f>'STRATEGY_SELECTOR'!$A$13:$A$16</f>
            </numRef>
          </cat>
          <val>
            <numRef>
              <f>'STRATEGY_SELECTOR'!$H$13:$H$16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Tax Rate Threshold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'STRATEGY_SELECTOR'!$I$13:$I$16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Cost / Ton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0</v>
      </c>
      <c r="C8" s="9" t="n">
        <v>0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0</v>
      </c>
      <c r="C9" s="9" t="n">
        <v>0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</v>
      </c>
      <c r="C10" s="9" t="n">
        <v>0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0</v>
      </c>
      <c r="C11" s="9" t="n">
        <v>0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0</v>
      </c>
    </row>
    <row r="7">
      <c r="A7" t="inlineStr">
        <is>
          <t>Current CO2 Tax Bill ($)</t>
        </is>
      </c>
      <c r="B7" s="15">
        <f>B6*IMPACT_CONFIG!$B$4</f>
        <v/>
      </c>
    </row>
    <row r="8">
      <c r="A8" t="inlineStr">
        <is>
          <t>Energy Consumption (kWh/Year)</t>
        </is>
      </c>
      <c r="B8" s="16" t="n">
        <v>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0</v>
      </c>
      <c r="C13" s="15">
        <f>B13*IMPACT_CONFIG!B8</f>
        <v/>
      </c>
      <c r="D13" s="18">
        <f>B13*IMPACT_CONFIG!C8</f>
        <v/>
      </c>
      <c r="E13" s="15">
        <f>D13*IMPACT_CONFIG!$B$4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  <c r="I13">
        <f>IMPACT_CONFIG!$B$4</f>
        <v/>
      </c>
    </row>
    <row r="14">
      <c r="A14" s="11" t="inlineStr">
        <is>
          <t>Trees Planted</t>
        </is>
      </c>
      <c r="B14" s="17" t="n">
        <v>0</v>
      </c>
      <c r="C14" s="15">
        <f>B14*IMPACT_CONFIG!B9</f>
        <v/>
      </c>
      <c r="D14" s="18">
        <f>B14*IMPACT_CONFIG!C9</f>
        <v/>
      </c>
      <c r="E14" s="15">
        <f>D14*IMPACT_CONFIG!$B$4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  <c r="I14">
        <f>IMPACT_CONFIG!$B$4</f>
        <v/>
      </c>
    </row>
    <row r="15">
      <c r="A15" s="12" t="inlineStr">
        <is>
          <t>Green Electricity</t>
        </is>
      </c>
      <c r="B15" s="21" t="n">
        <v>0</v>
      </c>
      <c r="C15" s="15">
        <f>$B$8*B15*IMPACT_CONFIG!B10</f>
        <v/>
      </c>
      <c r="D15" s="18">
        <f>$B$8*B15*IMPACT_CONFIG!C10</f>
        <v/>
      </c>
      <c r="E15" s="15">
        <f>D15*IMPACT_CONFIG!$B$4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  <c r="I15">
        <f>IMPACT_CONFIG!$B$4</f>
        <v/>
      </c>
    </row>
    <row r="16">
      <c r="A16" s="13" t="inlineStr">
        <is>
          <t>CO2 Credits</t>
        </is>
      </c>
      <c r="B16" s="17" t="n">
        <v>0</v>
      </c>
      <c r="C16" s="15">
        <f>B16*IMPACT_CONFIG!B11</f>
        <v/>
      </c>
      <c r="D16" s="18">
        <f>B16*IMPACT_CONFIG!C11</f>
        <v/>
      </c>
      <c r="E16" s="15">
        <f>D16*IMPACT_CONFIG!$B$4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  <c r="I16">
        <f>IMPACT_CONFIG!$B$4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SUM(C13:C16)</f>
        <v/>
      </c>
    </row>
    <row r="22">
      <c r="A22" t="inlineStr">
        <is>
          <t>New Tax Bill</t>
        </is>
      </c>
      <c r="B22" s="20">
        <f>MAX(0,(B6-B20)*IMPACT_CONFIG!B4)</f>
        <v/>
      </c>
    </row>
    <row r="23">
      <c r="A23" t="inlineStr">
        <is>
          <t>Annual Savings</t>
        </is>
      </c>
      <c r="B23" s="25">
        <f>B7-B22</f>
        <v/>
      </c>
    </row>
  </sheetData>
  <conditionalFormatting sqref="H13:H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13:G16">
    <cfRule type="expression" priority="2" dxfId="0">
      <formula>AND(ISNUMBER(G13),G13&gt;5)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2025-12-29T21:49:26Z</dcterms:created>
  <dcterms:modified xsi:type="dcterms:W3CDTF">2025-12-29T21:49:26Z</dcterms:modified>
</cp:coreProperties>
</file>