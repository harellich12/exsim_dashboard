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MPACT_CONFIG" sheetId="1" state="visible" r:id="rId1"/>
    <sheet name="STRATEGY_SELECTOR" sheetId="2" state="visible" r:id="rId2"/>
    <sheet name="UPLOAD_READY_ES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"/>
    <numFmt numFmtId="165" formatCode="$#,##0.00"/>
    <numFmt numFmtId="166" formatCode="0.0000"/>
    <numFmt numFmtId="167" formatCode="#,##0.0"/>
    <numFmt numFmtId="168" formatCode="0.0"/>
  </numFmts>
  <fonts count="11">
    <font>
      <name val="Calibri"/>
      <family val="2"/>
      <color theme="1"/>
      <sz val="11"/>
      <scheme val="minor"/>
    </font>
    <font>
      <b val="1"/>
      <color rgb="001F4E79"/>
      <sz val="14"/>
    </font>
    <font>
      <i val="1"/>
      <color rgb="00666666"/>
    </font>
    <font>
      <b val="1"/>
      <color rgb="001F4E79"/>
      <sz val="12"/>
    </font>
    <font>
      <b val="1"/>
      <i val="1"/>
      <color rgb="00C00000"/>
    </font>
    <font>
      <b val="1"/>
      <color rgb="00FFFFFF"/>
    </font>
    <font>
      <b val="1"/>
    </font>
    <font>
      <b val="1"/>
      <color rgb="00006400"/>
    </font>
    <font>
      <b val="1"/>
      <color rgb="00FFC000"/>
    </font>
    <font>
      <b val="1"/>
      <color rgb="007030A0"/>
    </font>
    <font>
      <b val="1"/>
      <color rgb="0070AD47"/>
    </font>
  </fonts>
  <fills count="12">
    <fill>
      <patternFill/>
    </fill>
    <fill>
      <patternFill patternType="gray125"/>
    </fill>
    <fill>
      <patternFill patternType="solid">
        <fgColor rgb="00FFF2CC"/>
        <bgColor rgb="00FFF2CC"/>
      </patternFill>
    </fill>
    <fill>
      <patternFill patternType="solid">
        <fgColor rgb="001F4E79"/>
        <bgColor rgb="001F4E79"/>
      </patternFill>
    </fill>
    <fill>
      <patternFill patternType="solid">
        <fgColor rgb="00FFC000"/>
        <bgColor rgb="00FFC000"/>
      </patternFill>
    </fill>
    <fill>
      <patternFill patternType="solid">
        <fgColor rgb="00D9D9D9"/>
        <bgColor rgb="00D9D9D9"/>
      </patternFill>
    </fill>
    <fill>
      <patternFill patternType="solid">
        <fgColor rgb="0070AD47"/>
        <bgColor rgb="0070AD47"/>
      </patternFill>
    </fill>
    <fill>
      <patternFill patternType="solid">
        <fgColor rgb="005B9BD5"/>
        <bgColor rgb="005B9BD5"/>
      </patternFill>
    </fill>
    <fill>
      <patternFill patternType="solid">
        <fgColor rgb="007030A0"/>
        <bgColor rgb="007030A0"/>
      </patternFill>
    </fill>
    <fill>
      <patternFill patternType="solid">
        <fgColor rgb="00E2EFDA"/>
        <bgColor rgb="00E2EFDA"/>
      </patternFill>
    </fill>
    <fill>
      <patternFill patternType="solid">
        <fgColor rgb="00C6EFCE"/>
        <bgColor rgb="00C6EFCE"/>
      </patternFill>
    </fill>
    <fill>
      <patternFill patternType="solid">
        <fgColor rgb="0000B050"/>
        <bgColor rgb="0000B05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center" wrapText="1"/>
    </xf>
    <xf numFmtId="0" fontId="5" fillId="4" borderId="1" pivotButton="0" quotePrefix="0" xfId="0"/>
    <xf numFmtId="165" fontId="0" fillId="2" borderId="1" pivotButton="0" quotePrefix="0" xfId="0"/>
    <xf numFmtId="166" fontId="0" fillId="2" borderId="1" pivotButton="0" quotePrefix="0" xfId="0"/>
    <xf numFmtId="0" fontId="0" fillId="5" borderId="1" pivotButton="0" quotePrefix="0" xfId="0"/>
    <xf numFmtId="0" fontId="5" fillId="6" borderId="1" pivotButton="0" quotePrefix="0" xfId="0"/>
    <xf numFmtId="0" fontId="5" fillId="7" borderId="1" pivotButton="0" quotePrefix="0" xfId="0"/>
    <xf numFmtId="0" fontId="5" fillId="8" borderId="1" pivotButton="0" quotePrefix="0" xfId="0"/>
    <xf numFmtId="0" fontId="6" fillId="0" borderId="0" pivotButton="0" quotePrefix="0" xfId="0"/>
    <xf numFmtId="164" fontId="0" fillId="9" borderId="1" pivotButton="0" quotePrefix="0" xfId="0"/>
    <xf numFmtId="3" fontId="0" fillId="5" borderId="1" pivotButton="0" quotePrefix="0" xfId="0"/>
    <xf numFmtId="0" fontId="0" fillId="2" borderId="1" pivotButton="0" quotePrefix="0" xfId="0"/>
    <xf numFmtId="167" fontId="0" fillId="9" borderId="1" pivotButton="0" quotePrefix="0" xfId="0"/>
    <xf numFmtId="168" fontId="0" fillId="9" borderId="1" pivotButton="0" quotePrefix="0" xfId="0"/>
    <xf numFmtId="164" fontId="0" fillId="10" borderId="1" pivotButton="0" quotePrefix="0" xfId="0"/>
    <xf numFmtId="9" fontId="0" fillId="2" borderId="1" pivotButton="0" quotePrefix="0" xfId="0"/>
    <xf numFmtId="0" fontId="0" fillId="9" borderId="1" pivotButton="0" quotePrefix="0" xfId="0"/>
    <xf numFmtId="167" fontId="6" fillId="10" borderId="1" pivotButton="0" quotePrefix="0" xfId="0"/>
    <xf numFmtId="164" fontId="6" fillId="10" borderId="1" pivotButton="0" quotePrefix="0" xfId="0"/>
    <xf numFmtId="0" fontId="6" fillId="10" borderId="1" pivotButton="0" quotePrefix="0" xfId="0"/>
    <xf numFmtId="0" fontId="7" fillId="0" borderId="0" pivotButton="0" quotePrefix="0" xfId="0"/>
    <xf numFmtId="0" fontId="5" fillId="11" borderId="1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5" fillId="3" borderId="1" pivotButton="0" quotePrefix="0" xfId="0"/>
    <xf numFmtId="9" fontId="0" fillId="9" borderId="1" pivotButton="0" quotePrefix="0" xfId="0"/>
  </cellXfs>
  <cellStyles count="1">
    <cellStyle name="Normal" xfId="0" builtinId="0" hidden="0"/>
  </cellStyles>
  <dxfs count="1">
    <dxf>
      <fill>
        <patternFill patternType="solid">
          <fgColor rgb="0000B050"/>
          <bgColor rgb="0000B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25" customWidth="1" min="3" max="3"/>
    <col width="18" customWidth="1" min="4" max="4"/>
  </cols>
  <sheetData>
    <row r="1">
      <c r="A1" s="1" t="inlineStr">
        <is>
          <t>IMPACT CONFIGURATION - Initiative Specifications</t>
        </is>
      </c>
    </row>
    <row r="2">
      <c r="A2" s="2" t="inlineStr">
        <is>
          <t>Define the unit costs and CO2 reduction rates from Case Guide.</t>
        </is>
      </c>
    </row>
    <row r="4">
      <c r="A4" s="3" t="inlineStr">
        <is>
          <t>CO2 TAX RATE ($/Ton)</t>
        </is>
      </c>
      <c r="B4" s="4" t="n">
        <v>30</v>
      </c>
      <c r="C4" s="5" t="inlineStr">
        <is>
          <t>&lt;-- Get from Case Guide!</t>
        </is>
      </c>
    </row>
    <row r="6">
      <c r="A6" s="3" t="inlineStr">
        <is>
          <t>INITIATIVE SPECIFICATIONS</t>
        </is>
      </c>
    </row>
    <row r="7">
      <c r="A7" s="6" t="inlineStr">
        <is>
          <t>Initiative</t>
        </is>
      </c>
      <c r="B7" s="6" t="inlineStr">
        <is>
          <t>Unit Cost ($)</t>
        </is>
      </c>
      <c r="C7" s="6" t="inlineStr">
        <is>
          <t>CO2 Reduction (Tons/Unit)</t>
        </is>
      </c>
      <c r="D7" s="6" t="inlineStr">
        <is>
          <t>Unit Type</t>
        </is>
      </c>
    </row>
    <row r="8">
      <c r="A8" s="7" t="inlineStr">
        <is>
          <t>Solar PV Panels</t>
        </is>
      </c>
      <c r="B8" s="8" t="n">
        <v>15000</v>
      </c>
      <c r="C8" s="9" t="n">
        <v>0.5</v>
      </c>
      <c r="D8" s="10" t="inlineStr">
        <is>
          <t>panels</t>
        </is>
      </c>
    </row>
    <row r="9">
      <c r="A9" s="11" t="inlineStr">
        <is>
          <t>Trees Planted</t>
        </is>
      </c>
      <c r="B9" s="8" t="n">
        <v>50</v>
      </c>
      <c r="C9" s="9" t="n">
        <v>0.02</v>
      </c>
      <c r="D9" s="10" t="inlineStr">
        <is>
          <t>trees</t>
        </is>
      </c>
    </row>
    <row r="10">
      <c r="A10" s="12" t="inlineStr">
        <is>
          <t>Green Electricity</t>
        </is>
      </c>
      <c r="B10" s="8" t="n">
        <v>0.03</v>
      </c>
      <c r="C10" s="9" t="n">
        <v>0.0005</v>
      </c>
      <c r="D10" s="10" t="inlineStr">
        <is>
          <t>% of consumption</t>
        </is>
      </c>
    </row>
    <row r="11">
      <c r="A11" s="13" t="inlineStr">
        <is>
          <t>CO2 Credits</t>
        </is>
      </c>
      <c r="B11" s="8" t="n">
        <v>25</v>
      </c>
      <c r="C11" s="9" t="n">
        <v>1</v>
      </c>
      <c r="D11" s="10" t="inlineStr">
        <is>
          <t>credits</t>
        </is>
      </c>
    </row>
    <row r="14">
      <c r="A14" s="14" t="inlineStr">
        <is>
          <t>NOTES:</t>
        </is>
      </c>
    </row>
    <row r="15">
      <c r="A15" t="inlineStr">
        <is>
          <t>- Solar: CAPEX investment, long-term savings</t>
        </is>
      </c>
    </row>
    <row r="16">
      <c r="A16" t="inlineStr">
        <is>
          <t>- Trees: Low cost, slow reduction, good for PR</t>
        </is>
      </c>
    </row>
    <row r="17">
      <c r="A17" t="inlineStr">
        <is>
          <t>- Green Electricity: Operating cost, immediate impact</t>
        </is>
      </c>
    </row>
    <row r="18">
      <c r="A18" t="inlineStr">
        <is>
          <t>- CO2 Credits: Quick fix, no long-term benefit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25" customWidth="1" min="1" max="1"/>
    <col width="12" customWidth="1" min="2" max="2"/>
    <col width="18" customWidth="1" min="3" max="3"/>
    <col width="18" customWidth="1" min="4" max="4"/>
    <col width="15" customWidth="1" min="5" max="5"/>
    <col width="18" customWidth="1" min="6" max="6"/>
    <col width="15" customWidth="1" min="7" max="7"/>
    <col width="15" customWidth="1" min="8" max="8"/>
  </cols>
  <sheetData>
    <row r="1">
      <c r="A1" s="1" t="inlineStr">
        <is>
          <t>STRATEGY SELECTOR - CO2 Abatement Calculator</t>
        </is>
      </c>
    </row>
    <row r="2">
      <c r="A2" s="2" t="inlineStr">
        <is>
          <t>Compare ROI of green initiatives vs. paying CO2 taxes.</t>
        </is>
      </c>
    </row>
    <row r="4">
      <c r="A4" s="3" t="inlineStr">
        <is>
          <t>SECTION A: CURRENT BASELINE</t>
        </is>
      </c>
    </row>
    <row r="6">
      <c r="A6" t="inlineStr">
        <is>
          <t>Current CO2 Emissions (Tons/Year)</t>
        </is>
      </c>
      <c r="B6" s="10" t="n">
        <v>150</v>
      </c>
    </row>
    <row r="7">
      <c r="A7" t="inlineStr">
        <is>
          <t>Current CO2 Tax Bill ($)</t>
        </is>
      </c>
      <c r="B7" s="15">
        <f>B6*IMPACT_CONFIG!$B$4</f>
        <v/>
      </c>
    </row>
    <row r="8">
      <c r="A8" t="inlineStr">
        <is>
          <t>Energy Consumption (kWh/Year)</t>
        </is>
      </c>
      <c r="B8" s="16" t="n">
        <v>500000</v>
      </c>
    </row>
    <row r="10">
      <c r="A10" s="3" t="inlineStr">
        <is>
          <t>SECTION B: INVESTMENT SIMULATOR</t>
        </is>
      </c>
    </row>
    <row r="11">
      <c r="A11" s="2" t="inlineStr">
        <is>
          <t>Enter quantities in yellow cells to see impact.</t>
        </is>
      </c>
    </row>
    <row r="12">
      <c r="A12" s="6" t="inlineStr">
        <is>
          <t>Initiative</t>
        </is>
      </c>
      <c r="B12" s="6" t="inlineStr">
        <is>
          <t>Quantity</t>
        </is>
      </c>
      <c r="C12" s="6" t="inlineStr">
        <is>
          <t>Investment/Cost</t>
        </is>
      </c>
      <c r="D12" s="6" t="inlineStr">
        <is>
          <t>CO2 Reduced (Tons)</t>
        </is>
      </c>
      <c r="E12" s="6" t="inlineStr">
        <is>
          <t>Tax Savings ($)</t>
        </is>
      </c>
      <c r="F12" s="6" t="inlineStr">
        <is>
          <t>Net Annual Benefit</t>
        </is>
      </c>
      <c r="G12" s="6" t="inlineStr">
        <is>
          <t>Payback (Years)</t>
        </is>
      </c>
      <c r="H12" s="6" t="inlineStr">
        <is>
          <t>Cost per Ton</t>
        </is>
      </c>
    </row>
    <row r="13">
      <c r="A13" s="7" t="inlineStr">
        <is>
          <t>Solar PV Panels</t>
        </is>
      </c>
      <c r="B13" s="17" t="n">
        <v>10</v>
      </c>
      <c r="C13" s="15">
        <f>B13*IMPACT_CONFIG!B8</f>
        <v/>
      </c>
      <c r="D13" s="18">
        <f>B13*IMPACT_CONFIG!C8</f>
        <v/>
      </c>
      <c r="E13" s="15">
        <f>D13*IMPACT_CONFIG!$B$4</f>
        <v/>
      </c>
      <c r="F13" s="15">
        <f>E13</f>
        <v/>
      </c>
      <c r="G13" s="19">
        <f>IF(E13&gt;0,C13/E13,"N/A")</f>
        <v/>
      </c>
      <c r="H13" s="20">
        <f>IF(D13&gt;0,C13/D13,0)</f>
        <v/>
      </c>
    </row>
    <row r="14">
      <c r="A14" s="11" t="inlineStr">
        <is>
          <t>Trees Planted</t>
        </is>
      </c>
      <c r="B14" s="17" t="n">
        <v>10</v>
      </c>
      <c r="C14" s="15">
        <f>B14*IMPACT_CONFIG!B9</f>
        <v/>
      </c>
      <c r="D14" s="18">
        <f>B14*IMPACT_CONFIG!C9</f>
        <v/>
      </c>
      <c r="E14" s="15">
        <f>D14*IMPACT_CONFIG!$B$4</f>
        <v/>
      </c>
      <c r="F14" s="15">
        <f>E14</f>
        <v/>
      </c>
      <c r="G14" s="19">
        <f>IF(E14&gt;0,C14/E14,"N/A")</f>
        <v/>
      </c>
      <c r="H14" s="20">
        <f>IF(D14&gt;0,C14/D14,0)</f>
        <v/>
      </c>
    </row>
    <row r="15">
      <c r="A15" s="12" t="inlineStr">
        <is>
          <t>Green Electricity</t>
        </is>
      </c>
      <c r="B15" s="21" t="n">
        <v>0.5</v>
      </c>
      <c r="C15" s="15">
        <f>$B$8*B15*IMPACT_CONFIG!B10</f>
        <v/>
      </c>
      <c r="D15" s="18">
        <f>$B$8*B15*IMPACT_CONFIG!C10</f>
        <v/>
      </c>
      <c r="E15" s="15">
        <f>D15*IMPACT_CONFIG!$B$4</f>
        <v/>
      </c>
      <c r="F15" s="15">
        <f>E15-C15</f>
        <v/>
      </c>
      <c r="G15" s="22" t="inlineStr">
        <is>
          <t>N/A (OpEx)</t>
        </is>
      </c>
      <c r="H15" s="20">
        <f>IF(D15&gt;0,C15/D15,0)</f>
        <v/>
      </c>
    </row>
    <row r="16">
      <c r="A16" s="13" t="inlineStr">
        <is>
          <t>CO2 Credits</t>
        </is>
      </c>
      <c r="B16" s="17" t="n">
        <v>10</v>
      </c>
      <c r="C16" s="15">
        <f>B16*IMPACT_CONFIG!B11</f>
        <v/>
      </c>
      <c r="D16" s="18">
        <f>B16*IMPACT_CONFIG!C11</f>
        <v/>
      </c>
      <c r="E16" s="15">
        <f>D16*IMPACT_CONFIG!$B$4</f>
        <v/>
      </c>
      <c r="F16" s="15">
        <f>E16-C16</f>
        <v/>
      </c>
      <c r="G16" s="22" t="inlineStr">
        <is>
          <t>N/A (OpEx)</t>
        </is>
      </c>
      <c r="H16" s="20">
        <f>IF(D16&gt;0,C16/D16,0)</f>
        <v/>
      </c>
    </row>
    <row r="18">
      <c r="A18" s="3" t="inlineStr">
        <is>
          <t>SECTION C: THE VERDICT</t>
        </is>
      </c>
    </row>
    <row r="20">
      <c r="A20" t="inlineStr">
        <is>
          <t>Total CO2 Reduced</t>
        </is>
      </c>
      <c r="B20" s="23">
        <f>SUM(D13:D16)</f>
        <v/>
      </c>
      <c r="C20" t="inlineStr">
        <is>
          <t>tons/year</t>
        </is>
      </c>
    </row>
    <row r="21">
      <c r="A21" t="inlineStr">
        <is>
          <t>Total Investment Required</t>
        </is>
      </c>
      <c r="B21" s="24">
        <f>C13+C14</f>
        <v/>
      </c>
    </row>
    <row r="22">
      <c r="A22" t="inlineStr">
        <is>
          <t>Total Annual Operating Cost</t>
        </is>
      </c>
      <c r="B22" s="24">
        <f>C15+C16</f>
        <v/>
      </c>
    </row>
    <row r="23">
      <c r="A23" t="inlineStr">
        <is>
          <t>Annual Tax Savings</t>
        </is>
      </c>
      <c r="B23" s="24">
        <f>SUM(E13:E16)</f>
        <v/>
      </c>
    </row>
    <row r="24">
      <c r="A24" t="inlineStr">
        <is>
          <t>Remaining Emissions</t>
        </is>
      </c>
      <c r="B24" s="25">
        <f>MAX(0,B6-B20)</f>
        <v/>
      </c>
    </row>
    <row r="25">
      <c r="A25" t="inlineStr">
        <is>
          <t>Remaining Tax Bill</t>
        </is>
      </c>
      <c r="B25" s="24">
        <f>B24*IMPACT_CONFIG!$B$4</f>
        <v/>
      </c>
    </row>
    <row r="27">
      <c r="A27" s="26" t="inlineStr">
        <is>
          <t>CHEAPEST $/TON OPTION:</t>
        </is>
      </c>
      <c r="B27" s="27">
        <f>INDEX(A13:A16,MATCH(MIN(H13:H16),H13:H16,0))</f>
        <v/>
      </c>
    </row>
    <row r="29">
      <c r="A29" s="3" t="inlineStr">
        <is>
          <t>DECISION MATRIX:</t>
        </is>
      </c>
    </row>
    <row r="30">
      <c r="A30" s="28" t="inlineStr">
        <is>
          <t>If Solar Payback &lt; 3 years: INVEST IN SOLAR</t>
        </is>
      </c>
    </row>
    <row r="31">
      <c r="A31" s="29" t="inlineStr">
        <is>
          <t>If Cash is Limited: BUY CREDITS (quick fix)</t>
        </is>
      </c>
    </row>
    <row r="32">
      <c r="A32" s="30" t="inlineStr">
        <is>
          <t>For PR/Long-term: PLANT TREES</t>
        </is>
      </c>
    </row>
  </sheetData>
  <conditionalFormatting sqref="H13:H16">
    <cfRule type="cellIs" priority="1" operator="equal" dxfId="0">
      <formula>MIN($H$13:$H$16)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</cols>
  <sheetData>
    <row r="1">
      <c r="A1" s="1" t="inlineStr">
        <is>
          <t>ESG DECISIONS - ExSim Upload Format</t>
        </is>
      </c>
    </row>
    <row r="2">
      <c r="A2" s="2" t="inlineStr">
        <is>
          <t>Copy these values to ExSim ESG upload.</t>
        </is>
      </c>
    </row>
    <row r="4">
      <c r="A4" s="3" t="inlineStr">
        <is>
          <t>ESG Investments</t>
        </is>
      </c>
    </row>
    <row r="5">
      <c r="A5" s="31" t="inlineStr">
        <is>
          <t>Initiative</t>
        </is>
      </c>
      <c r="B5" s="31" t="inlineStr">
        <is>
          <t>Quantity/Value</t>
        </is>
      </c>
    </row>
    <row r="6">
      <c r="A6" s="7" t="inlineStr">
        <is>
          <t>Solar PV Panels</t>
        </is>
      </c>
      <c r="B6" s="22">
        <f>STRATEGY_SELECTOR!B13</f>
        <v/>
      </c>
    </row>
    <row r="7">
      <c r="A7" s="11" t="inlineStr">
        <is>
          <t>Trees Planted</t>
        </is>
      </c>
      <c r="B7" s="22">
        <f>STRATEGY_SELECTOR!B14</f>
        <v/>
      </c>
    </row>
    <row r="8">
      <c r="A8" s="12" t="inlineStr">
        <is>
          <t>Green Electricity</t>
        </is>
      </c>
      <c r="B8" s="32">
        <f>STRATEGY_SELECTOR!B15</f>
        <v/>
      </c>
    </row>
    <row r="9">
      <c r="A9" s="13" t="inlineStr">
        <is>
          <t>CO2 Credits</t>
        </is>
      </c>
      <c r="B9" s="22">
        <f>STRATEGY_SELECTOR!B16</f>
        <v/>
      </c>
    </row>
    <row r="12">
      <c r="A12" s="3" t="inlineStr">
        <is>
          <t>Summary</t>
        </is>
      </c>
    </row>
    <row r="13">
      <c r="A13" t="inlineStr">
        <is>
          <t>Total CO2 Reduced (Tons)</t>
        </is>
      </c>
      <c r="B13" s="22">
        <f>STRATEGY_SELECTOR!B20</f>
        <v/>
      </c>
    </row>
    <row r="14">
      <c r="A14" t="inlineStr">
        <is>
          <t>Total Investment</t>
        </is>
      </c>
      <c r="B14" s="15">
        <f>STRATEGY_SELECTOR!B21</f>
        <v/>
      </c>
    </row>
    <row r="15">
      <c r="A15" t="inlineStr">
        <is>
          <t>Annual OpEx</t>
        </is>
      </c>
      <c r="B15" s="15">
        <f>STRATEGY_SELECTOR!B22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2025-12-29T16:10:28Z</dcterms:created>
  <dcterms:modified xsi:type="dcterms:W3CDTF">2025-12-29T16:10:28Z</dcterms:modified>
</cp:coreProperties>
</file>