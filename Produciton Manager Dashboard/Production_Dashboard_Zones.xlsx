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_CALCULATORS" sheetId="1" state="visible" r:id="rId1"/>
    <sheet name="RESOURCE_MGR" sheetId="2" state="visible" r:id="rId2"/>
    <sheet name="UPLOAD_READY_PRO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b val="1"/>
      <color rgb="00FFFFFF"/>
    </font>
    <font>
      <b val="1"/>
    </font>
    <font>
      <b val="1"/>
      <color rgb="002F5496"/>
      <sz val="12"/>
    </font>
    <font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2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5" fillId="6" borderId="1" pivotButton="0" quotePrefix="0" xfId="0"/>
    <xf numFmtId="0" fontId="5" fillId="0" borderId="0" pivotButton="0" quotePrefix="0" xfId="0"/>
    <xf numFmtId="0" fontId="0" fillId="4" borderId="0" pivotButton="0" quotePrefix="0" xfId="0"/>
    <xf numFmtId="0" fontId="5" fillId="6" borderId="0" pivotButton="0" quotePrefix="0" xfId="0"/>
    <xf numFmtId="0" fontId="3" fillId="7" borderId="0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6" fillId="0" borderId="0" pivotButton="0" quotePrefix="0" xfId="0"/>
    <xf numFmtId="0" fontId="4" fillId="11" borderId="1" pivotButton="0" quotePrefix="0" xfId="0"/>
    <xf numFmtId="0" fontId="7" fillId="2" borderId="1" pivotButton="0" quotePrefix="0" xfId="0"/>
    <xf numFmtId="0" fontId="0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7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ZONE-SPECIFIC PRODUCTION CALCULATORS</t>
        </is>
      </c>
    </row>
    <row r="2">
      <c r="A2" s="2" t="inlineStr">
        <is>
          <t>Each zone has its own resources. Resources in Center do NOT count towards West capacity.</t>
        </is>
      </c>
    </row>
    <row r="4">
      <c r="A4" s="3" t="inlineStr">
        <is>
          <t>═══ CENTER ZONE ═══</t>
        </is>
      </c>
    </row>
    <row r="5">
      <c r="A5" s="4" t="inlineStr">
        <is>
          <t>Machines in Zone</t>
        </is>
      </c>
      <c r="B5" s="5" t="n">
        <v>156</v>
      </c>
    </row>
    <row r="6">
      <c r="A6" s="4" t="inlineStr">
        <is>
          <t>Material Stock (Part A)</t>
        </is>
      </c>
      <c r="B6" s="5" t="n">
        <v>94</v>
      </c>
    </row>
    <row r="7">
      <c r="A7" s="4" t="inlineStr">
        <is>
          <t>Workers in Zone</t>
        </is>
      </c>
      <c r="B7" s="5" t="n">
        <v>219</v>
      </c>
    </row>
    <row r="8">
      <c r="A8" s="4" t="inlineStr">
        <is>
          <t>Nominal Rate/Machine</t>
        </is>
      </c>
      <c r="B8" s="5" t="n">
        <v>200</v>
      </c>
    </row>
    <row r="10">
      <c r="A10" s="6" t="inlineStr">
        <is>
          <t>Fortnight</t>
        </is>
      </c>
      <c r="B10" s="6" t="inlineStr">
        <is>
          <t>Target</t>
        </is>
      </c>
      <c r="C10" s="6" t="inlineStr">
        <is>
          <t>Overtime</t>
        </is>
      </c>
      <c r="D10" s="6" t="inlineStr">
        <is>
          <t>Local Capacity</t>
        </is>
      </c>
      <c r="E10" s="6" t="inlineStr">
        <is>
          <t>Material Cap</t>
        </is>
      </c>
      <c r="F10" s="6" t="inlineStr">
        <is>
          <t>REAL OUTPUT</t>
        </is>
      </c>
      <c r="G10" s="6" t="inlineStr">
        <is>
          <t>Shipment?</t>
        </is>
      </c>
    </row>
    <row r="11">
      <c r="A11" s="4" t="inlineStr">
        <is>
          <t>FN1</t>
        </is>
      </c>
      <c r="B11" s="7" t="n">
        <v>500</v>
      </c>
      <c r="C11" s="8" t="inlineStr">
        <is>
          <t>N</t>
        </is>
      </c>
      <c r="D11" s="9">
        <f>$B$5*$B$8</f>
        <v/>
      </c>
      <c r="E11" s="9">
        <f>$B$6</f>
        <v/>
      </c>
      <c r="F11" s="10">
        <f>MIN(B11,D11,E11)</f>
        <v/>
      </c>
      <c r="G11" s="4">
        <f>IF(B11&gt;E11, "SHIPMENT NEEDED!", "OK")</f>
        <v/>
      </c>
    </row>
    <row r="12">
      <c r="A12" s="4" t="inlineStr">
        <is>
          <t>FN2</t>
        </is>
      </c>
      <c r="B12" s="7" t="n">
        <v>500</v>
      </c>
      <c r="C12" s="8" t="inlineStr">
        <is>
          <t>N</t>
        </is>
      </c>
      <c r="D12" s="9">
        <f>$B$5*$B$8</f>
        <v/>
      </c>
      <c r="E12" s="9">
        <f>$B$6</f>
        <v/>
      </c>
      <c r="F12" s="10">
        <f>MIN(B12,D12,E12)</f>
        <v/>
      </c>
      <c r="G12" s="4">
        <f>IF(B12&gt;E12, "SHIPMENT NEEDED!", "OK")</f>
        <v/>
      </c>
    </row>
    <row r="13">
      <c r="A13" s="4" t="inlineStr">
        <is>
          <t>FN3</t>
        </is>
      </c>
      <c r="B13" s="7" t="n">
        <v>500</v>
      </c>
      <c r="C13" s="8" t="inlineStr">
        <is>
          <t>N</t>
        </is>
      </c>
      <c r="D13" s="9">
        <f>$B$5*$B$8</f>
        <v/>
      </c>
      <c r="E13" s="9">
        <f>$B$6</f>
        <v/>
      </c>
      <c r="F13" s="10">
        <f>MIN(B13,D13,E13)</f>
        <v/>
      </c>
      <c r="G13" s="4">
        <f>IF(B13&gt;E13, "SHIPMENT NEEDED!", "OK")</f>
        <v/>
      </c>
    </row>
    <row r="14">
      <c r="A14" s="4" t="inlineStr">
        <is>
          <t>FN4</t>
        </is>
      </c>
      <c r="B14" s="7" t="n">
        <v>500</v>
      </c>
      <c r="C14" s="8" t="inlineStr">
        <is>
          <t>N</t>
        </is>
      </c>
      <c r="D14" s="9">
        <f>$B$5*$B$8</f>
        <v/>
      </c>
      <c r="E14" s="9">
        <f>$B$6</f>
        <v/>
      </c>
      <c r="F14" s="10">
        <f>MIN(B14,D14,E14)</f>
        <v/>
      </c>
      <c r="G14" s="4">
        <f>IF(B14&gt;E14, "SHIPMENT NEEDED!", "OK")</f>
        <v/>
      </c>
    </row>
    <row r="15">
      <c r="A15" s="4" t="inlineStr">
        <is>
          <t>FN5</t>
        </is>
      </c>
      <c r="B15" s="7" t="n">
        <v>500</v>
      </c>
      <c r="C15" s="8" t="inlineStr">
        <is>
          <t>N</t>
        </is>
      </c>
      <c r="D15" s="9">
        <f>$B$5*$B$8</f>
        <v/>
      </c>
      <c r="E15" s="9">
        <f>$B$6</f>
        <v/>
      </c>
      <c r="F15" s="10">
        <f>MIN(B15,D15,E15)</f>
        <v/>
      </c>
      <c r="G15" s="4">
        <f>IF(B15&gt;E15, "SHIPMENT NEEDED!", "OK")</f>
        <v/>
      </c>
    </row>
    <row r="16">
      <c r="A16" s="4" t="inlineStr">
        <is>
          <t>FN6</t>
        </is>
      </c>
      <c r="B16" s="7" t="n">
        <v>500</v>
      </c>
      <c r="C16" s="8" t="inlineStr">
        <is>
          <t>N</t>
        </is>
      </c>
      <c r="D16" s="9">
        <f>$B$5*$B$8</f>
        <v/>
      </c>
      <c r="E16" s="9">
        <f>$B$6</f>
        <v/>
      </c>
      <c r="F16" s="10">
        <f>MIN(B16,D16,E16)</f>
        <v/>
      </c>
      <c r="G16" s="4">
        <f>IF(B16&gt;E16, "SHIPMENT NEEDED!", "OK")</f>
        <v/>
      </c>
    </row>
    <row r="17">
      <c r="A17" s="4" t="inlineStr">
        <is>
          <t>FN7</t>
        </is>
      </c>
      <c r="B17" s="7" t="n">
        <v>500</v>
      </c>
      <c r="C17" s="8" t="inlineStr">
        <is>
          <t>N</t>
        </is>
      </c>
      <c r="D17" s="9">
        <f>$B$5*$B$8</f>
        <v/>
      </c>
      <c r="E17" s="9">
        <f>$B$6</f>
        <v/>
      </c>
      <c r="F17" s="10">
        <f>MIN(B17,D17,E17)</f>
        <v/>
      </c>
      <c r="G17" s="4">
        <f>IF(B17&gt;E17, "SHIPMENT NEEDED!", "OK")</f>
        <v/>
      </c>
    </row>
    <row r="18">
      <c r="A18" s="4" t="inlineStr">
        <is>
          <t>FN8</t>
        </is>
      </c>
      <c r="B18" s="7" t="n">
        <v>500</v>
      </c>
      <c r="C18" s="8" t="inlineStr">
        <is>
          <t>N</t>
        </is>
      </c>
      <c r="D18" s="9">
        <f>$B$5*$B$8</f>
        <v/>
      </c>
      <c r="E18" s="9">
        <f>$B$6</f>
        <v/>
      </c>
      <c r="F18" s="10">
        <f>MIN(B18,D18,E18)</f>
        <v/>
      </c>
      <c r="G18" s="4">
        <f>IF(B18&gt;E18, "SHIPMENT NEEDED!", "OK")</f>
        <v/>
      </c>
    </row>
    <row r="19">
      <c r="A19" s="11" t="inlineStr">
        <is>
          <t>TOTAL</t>
        </is>
      </c>
      <c r="B19" s="12">
        <f>SUM(B11:B18)</f>
        <v/>
      </c>
      <c r="F19" s="13">
        <f>SUM(F11:F18)</f>
        <v/>
      </c>
    </row>
    <row r="22">
      <c r="A22" s="14" t="inlineStr">
        <is>
          <t>═══ WEST ZONE ═══</t>
        </is>
      </c>
    </row>
    <row r="23">
      <c r="A23" s="4" t="inlineStr">
        <is>
          <t>Machines in Zone</t>
        </is>
      </c>
      <c r="B23" s="5" t="n">
        <v>0</v>
      </c>
    </row>
    <row r="24">
      <c r="A24" s="4" t="inlineStr">
        <is>
          <t>Material Stock (Part A)</t>
        </is>
      </c>
      <c r="B24" s="5" t="n">
        <v>36</v>
      </c>
    </row>
    <row r="25">
      <c r="A25" s="4" t="inlineStr">
        <is>
          <t>Workers in Zone</t>
        </is>
      </c>
      <c r="B25" s="5" t="n">
        <v>71</v>
      </c>
    </row>
    <row r="26">
      <c r="A26" s="4" t="inlineStr">
        <is>
          <t>Nominal Rate/Machine</t>
        </is>
      </c>
      <c r="B26" s="5" t="n">
        <v>200</v>
      </c>
    </row>
    <row r="28">
      <c r="A28" s="15" t="inlineStr">
        <is>
          <t>Fortnight</t>
        </is>
      </c>
      <c r="B28" s="15" t="inlineStr">
        <is>
          <t>Target</t>
        </is>
      </c>
      <c r="C28" s="15" t="inlineStr">
        <is>
          <t>Overtime</t>
        </is>
      </c>
      <c r="D28" s="15" t="inlineStr">
        <is>
          <t>Local Capacity</t>
        </is>
      </c>
      <c r="E28" s="15" t="inlineStr">
        <is>
          <t>Material Cap</t>
        </is>
      </c>
      <c r="F28" s="15" t="inlineStr">
        <is>
          <t>REAL OUTPUT</t>
        </is>
      </c>
      <c r="G28" s="15" t="inlineStr">
        <is>
          <t>Shipment?</t>
        </is>
      </c>
    </row>
    <row r="29">
      <c r="A29" s="4" t="inlineStr">
        <is>
          <t>FN1</t>
        </is>
      </c>
      <c r="B29" s="7" t="n">
        <v>0</v>
      </c>
      <c r="C29" s="8" t="inlineStr">
        <is>
          <t>N</t>
        </is>
      </c>
      <c r="D29" s="9">
        <f>$B$23*$B$26</f>
        <v/>
      </c>
      <c r="E29" s="9">
        <f>$B$24</f>
        <v/>
      </c>
      <c r="F29" s="10">
        <f>MIN(B29,D29,E29)</f>
        <v/>
      </c>
      <c r="G29" s="4">
        <f>IF(B29&gt;E29, "SHIPMENT NEEDED!", "OK")</f>
        <v/>
      </c>
    </row>
    <row r="30">
      <c r="A30" s="4" t="inlineStr">
        <is>
          <t>FN2</t>
        </is>
      </c>
      <c r="B30" s="7" t="n">
        <v>0</v>
      </c>
      <c r="C30" s="8" t="inlineStr">
        <is>
          <t>N</t>
        </is>
      </c>
      <c r="D30" s="9">
        <f>$B$23*$B$26</f>
        <v/>
      </c>
      <c r="E30" s="9">
        <f>$B$24</f>
        <v/>
      </c>
      <c r="F30" s="10">
        <f>MIN(B30,D30,E30)</f>
        <v/>
      </c>
      <c r="G30" s="4">
        <f>IF(B30&gt;E30, "SHIPMENT NEEDED!", "OK")</f>
        <v/>
      </c>
    </row>
    <row r="31">
      <c r="A31" s="4" t="inlineStr">
        <is>
          <t>FN3</t>
        </is>
      </c>
      <c r="B31" s="7" t="n">
        <v>0</v>
      </c>
      <c r="C31" s="8" t="inlineStr">
        <is>
          <t>N</t>
        </is>
      </c>
      <c r="D31" s="9">
        <f>$B$23*$B$26</f>
        <v/>
      </c>
      <c r="E31" s="9">
        <f>$B$24</f>
        <v/>
      </c>
      <c r="F31" s="10">
        <f>MIN(B31,D31,E31)</f>
        <v/>
      </c>
      <c r="G31" s="4">
        <f>IF(B31&gt;E31, "SHIPMENT NEEDED!", "OK")</f>
        <v/>
      </c>
    </row>
    <row r="32">
      <c r="A32" s="4" t="inlineStr">
        <is>
          <t>FN4</t>
        </is>
      </c>
      <c r="B32" s="7" t="n">
        <v>0</v>
      </c>
      <c r="C32" s="8" t="inlineStr">
        <is>
          <t>N</t>
        </is>
      </c>
      <c r="D32" s="9">
        <f>$B$23*$B$26</f>
        <v/>
      </c>
      <c r="E32" s="9">
        <f>$B$24</f>
        <v/>
      </c>
      <c r="F32" s="10">
        <f>MIN(B32,D32,E32)</f>
        <v/>
      </c>
      <c r="G32" s="4">
        <f>IF(B32&gt;E32, "SHIPMENT NEEDED!", "OK")</f>
        <v/>
      </c>
    </row>
    <row r="33">
      <c r="A33" s="4" t="inlineStr">
        <is>
          <t>FN5</t>
        </is>
      </c>
      <c r="B33" s="7" t="n">
        <v>0</v>
      </c>
      <c r="C33" s="8" t="inlineStr">
        <is>
          <t>N</t>
        </is>
      </c>
      <c r="D33" s="9">
        <f>$B$23*$B$26</f>
        <v/>
      </c>
      <c r="E33" s="9">
        <f>$B$24</f>
        <v/>
      </c>
      <c r="F33" s="10">
        <f>MIN(B33,D33,E33)</f>
        <v/>
      </c>
      <c r="G33" s="4">
        <f>IF(B33&gt;E33, "SHIPMENT NEEDED!", "OK")</f>
        <v/>
      </c>
    </row>
    <row r="34">
      <c r="A34" s="4" t="inlineStr">
        <is>
          <t>FN6</t>
        </is>
      </c>
      <c r="B34" s="7" t="n">
        <v>0</v>
      </c>
      <c r="C34" s="8" t="inlineStr">
        <is>
          <t>N</t>
        </is>
      </c>
      <c r="D34" s="9">
        <f>$B$23*$B$26</f>
        <v/>
      </c>
      <c r="E34" s="9">
        <f>$B$24</f>
        <v/>
      </c>
      <c r="F34" s="10">
        <f>MIN(B34,D34,E34)</f>
        <v/>
      </c>
      <c r="G34" s="4">
        <f>IF(B34&gt;E34, "SHIPMENT NEEDED!", "OK")</f>
        <v/>
      </c>
    </row>
    <row r="35">
      <c r="A35" s="4" t="inlineStr">
        <is>
          <t>FN7</t>
        </is>
      </c>
      <c r="B35" s="7" t="n">
        <v>0</v>
      </c>
      <c r="C35" s="8" t="inlineStr">
        <is>
          <t>N</t>
        </is>
      </c>
      <c r="D35" s="9">
        <f>$B$23*$B$26</f>
        <v/>
      </c>
      <c r="E35" s="9">
        <f>$B$24</f>
        <v/>
      </c>
      <c r="F35" s="10">
        <f>MIN(B35,D35,E35)</f>
        <v/>
      </c>
      <c r="G35" s="4">
        <f>IF(B35&gt;E35, "SHIPMENT NEEDED!", "OK")</f>
        <v/>
      </c>
    </row>
    <row r="36">
      <c r="A36" s="4" t="inlineStr">
        <is>
          <t>FN8</t>
        </is>
      </c>
      <c r="B36" s="7" t="n">
        <v>0</v>
      </c>
      <c r="C36" s="8" t="inlineStr">
        <is>
          <t>N</t>
        </is>
      </c>
      <c r="D36" s="9">
        <f>$B$23*$B$26</f>
        <v/>
      </c>
      <c r="E36" s="9">
        <f>$B$24</f>
        <v/>
      </c>
      <c r="F36" s="10">
        <f>MIN(B36,D36,E36)</f>
        <v/>
      </c>
      <c r="G36" s="4">
        <f>IF(B36&gt;E36, "SHIPMENT NEEDED!", "OK")</f>
        <v/>
      </c>
    </row>
    <row r="37">
      <c r="A37" s="11" t="inlineStr">
        <is>
          <t>TOTAL</t>
        </is>
      </c>
      <c r="B37" s="12">
        <f>SUM(B29:B36)</f>
        <v/>
      </c>
      <c r="F37" s="13">
        <f>SUM(F29:F36)</f>
        <v/>
      </c>
    </row>
    <row r="40">
      <c r="A40" s="16" t="inlineStr">
        <is>
          <t>═══ NORTH ZONE ═══</t>
        </is>
      </c>
    </row>
    <row r="41">
      <c r="A41" s="4" t="inlineStr">
        <is>
          <t>Machines in Zone</t>
        </is>
      </c>
      <c r="B41" s="5" t="n">
        <v>0</v>
      </c>
    </row>
    <row r="42">
      <c r="A42" s="4" t="inlineStr">
        <is>
          <t>Material Stock (Part A)</t>
        </is>
      </c>
      <c r="B42" s="5" t="n">
        <v>0</v>
      </c>
    </row>
    <row r="43">
      <c r="A43" s="4" t="inlineStr">
        <is>
          <t>Workers in Zone</t>
        </is>
      </c>
      <c r="B43" s="5" t="n">
        <v>0</v>
      </c>
    </row>
    <row r="44">
      <c r="A44" s="4" t="inlineStr">
        <is>
          <t>Nominal Rate/Machine</t>
        </is>
      </c>
      <c r="B44" s="5" t="n">
        <v>200</v>
      </c>
    </row>
    <row r="46">
      <c r="A46" s="17" t="inlineStr">
        <is>
          <t>Fortnight</t>
        </is>
      </c>
      <c r="B46" s="17" t="inlineStr">
        <is>
          <t>Target</t>
        </is>
      </c>
      <c r="C46" s="17" t="inlineStr">
        <is>
          <t>Overtime</t>
        </is>
      </c>
      <c r="D46" s="17" t="inlineStr">
        <is>
          <t>Local Capacity</t>
        </is>
      </c>
      <c r="E46" s="17" t="inlineStr">
        <is>
          <t>Material Cap</t>
        </is>
      </c>
      <c r="F46" s="17" t="inlineStr">
        <is>
          <t>REAL OUTPUT</t>
        </is>
      </c>
      <c r="G46" s="17" t="inlineStr">
        <is>
          <t>Shipment?</t>
        </is>
      </c>
    </row>
    <row r="47">
      <c r="A47" s="4" t="inlineStr">
        <is>
          <t>FN1</t>
        </is>
      </c>
      <c r="B47" s="7" t="n">
        <v>0</v>
      </c>
      <c r="C47" s="8" t="inlineStr">
        <is>
          <t>N</t>
        </is>
      </c>
      <c r="D47" s="9">
        <f>$B$41*$B$44</f>
        <v/>
      </c>
      <c r="E47" s="9">
        <f>$B$42</f>
        <v/>
      </c>
      <c r="F47" s="10">
        <f>MIN(B47,D47,E47)</f>
        <v/>
      </c>
      <c r="G47" s="4">
        <f>IF(B47&gt;E47, "SHIPMENT NEEDED!", "OK")</f>
        <v/>
      </c>
    </row>
    <row r="48">
      <c r="A48" s="4" t="inlineStr">
        <is>
          <t>FN2</t>
        </is>
      </c>
      <c r="B48" s="7" t="n">
        <v>0</v>
      </c>
      <c r="C48" s="8" t="inlineStr">
        <is>
          <t>N</t>
        </is>
      </c>
      <c r="D48" s="9">
        <f>$B$41*$B$44</f>
        <v/>
      </c>
      <c r="E48" s="9">
        <f>$B$42</f>
        <v/>
      </c>
      <c r="F48" s="10">
        <f>MIN(B48,D48,E48)</f>
        <v/>
      </c>
      <c r="G48" s="4">
        <f>IF(B48&gt;E48, "SHIPMENT NEEDED!", "OK")</f>
        <v/>
      </c>
    </row>
    <row r="49">
      <c r="A49" s="4" t="inlineStr">
        <is>
          <t>FN3</t>
        </is>
      </c>
      <c r="B49" s="7" t="n">
        <v>0</v>
      </c>
      <c r="C49" s="8" t="inlineStr">
        <is>
          <t>N</t>
        </is>
      </c>
      <c r="D49" s="9">
        <f>$B$41*$B$44</f>
        <v/>
      </c>
      <c r="E49" s="9">
        <f>$B$42</f>
        <v/>
      </c>
      <c r="F49" s="10">
        <f>MIN(B49,D49,E49)</f>
        <v/>
      </c>
      <c r="G49" s="4">
        <f>IF(B49&gt;E49, "SHIPMENT NEEDED!", "OK")</f>
        <v/>
      </c>
    </row>
    <row r="50">
      <c r="A50" s="4" t="inlineStr">
        <is>
          <t>FN4</t>
        </is>
      </c>
      <c r="B50" s="7" t="n">
        <v>0</v>
      </c>
      <c r="C50" s="8" t="inlineStr">
        <is>
          <t>N</t>
        </is>
      </c>
      <c r="D50" s="9">
        <f>$B$41*$B$44</f>
        <v/>
      </c>
      <c r="E50" s="9">
        <f>$B$42</f>
        <v/>
      </c>
      <c r="F50" s="10">
        <f>MIN(B50,D50,E50)</f>
        <v/>
      </c>
      <c r="G50" s="4">
        <f>IF(B50&gt;E50, "SHIPMENT NEEDED!", "OK")</f>
        <v/>
      </c>
    </row>
    <row r="51">
      <c r="A51" s="4" t="inlineStr">
        <is>
          <t>FN5</t>
        </is>
      </c>
      <c r="B51" s="7" t="n">
        <v>0</v>
      </c>
      <c r="C51" s="8" t="inlineStr">
        <is>
          <t>N</t>
        </is>
      </c>
      <c r="D51" s="9">
        <f>$B$41*$B$44</f>
        <v/>
      </c>
      <c r="E51" s="9">
        <f>$B$42</f>
        <v/>
      </c>
      <c r="F51" s="10">
        <f>MIN(B51,D51,E51)</f>
        <v/>
      </c>
      <c r="G51" s="4">
        <f>IF(B51&gt;E51, "SHIPMENT NEEDED!", "OK")</f>
        <v/>
      </c>
    </row>
    <row r="52">
      <c r="A52" s="4" t="inlineStr">
        <is>
          <t>FN6</t>
        </is>
      </c>
      <c r="B52" s="7" t="n">
        <v>0</v>
      </c>
      <c r="C52" s="8" t="inlineStr">
        <is>
          <t>N</t>
        </is>
      </c>
      <c r="D52" s="9">
        <f>$B$41*$B$44</f>
        <v/>
      </c>
      <c r="E52" s="9">
        <f>$B$42</f>
        <v/>
      </c>
      <c r="F52" s="10">
        <f>MIN(B52,D52,E52)</f>
        <v/>
      </c>
      <c r="G52" s="4">
        <f>IF(B52&gt;E52, "SHIPMENT NEEDED!", "OK")</f>
        <v/>
      </c>
    </row>
    <row r="53">
      <c r="A53" s="4" t="inlineStr">
        <is>
          <t>FN7</t>
        </is>
      </c>
      <c r="B53" s="7" t="n">
        <v>0</v>
      </c>
      <c r="C53" s="8" t="inlineStr">
        <is>
          <t>N</t>
        </is>
      </c>
      <c r="D53" s="9">
        <f>$B$41*$B$44</f>
        <v/>
      </c>
      <c r="E53" s="9">
        <f>$B$42</f>
        <v/>
      </c>
      <c r="F53" s="10">
        <f>MIN(B53,D53,E53)</f>
        <v/>
      </c>
      <c r="G53" s="4">
        <f>IF(B53&gt;E53, "SHIPMENT NEEDED!", "OK")</f>
        <v/>
      </c>
    </row>
    <row r="54">
      <c r="A54" s="4" t="inlineStr">
        <is>
          <t>FN8</t>
        </is>
      </c>
      <c r="B54" s="7" t="n">
        <v>0</v>
      </c>
      <c r="C54" s="8" t="inlineStr">
        <is>
          <t>N</t>
        </is>
      </c>
      <c r="D54" s="9">
        <f>$B$41*$B$44</f>
        <v/>
      </c>
      <c r="E54" s="9">
        <f>$B$42</f>
        <v/>
      </c>
      <c r="F54" s="10">
        <f>MIN(B54,D54,E54)</f>
        <v/>
      </c>
      <c r="G54" s="4">
        <f>IF(B54&gt;E54, "SHIPMENT NEEDED!", "OK")</f>
        <v/>
      </c>
    </row>
    <row r="55">
      <c r="A55" s="11" t="inlineStr">
        <is>
          <t>TOTAL</t>
        </is>
      </c>
      <c r="B55" s="12">
        <f>SUM(B47:B54)</f>
        <v/>
      </c>
      <c r="F55" s="13">
        <f>SUM(F47:F54)</f>
        <v/>
      </c>
    </row>
    <row r="58">
      <c r="A58" s="18" t="inlineStr">
        <is>
          <t>═══ EAST ZONE ═══</t>
        </is>
      </c>
    </row>
    <row r="59">
      <c r="A59" s="4" t="inlineStr">
        <is>
          <t>Machines in Zone</t>
        </is>
      </c>
      <c r="B59" s="5" t="n">
        <v>0</v>
      </c>
    </row>
    <row r="60">
      <c r="A60" s="4" t="inlineStr">
        <is>
          <t>Material Stock (Part A)</t>
        </is>
      </c>
      <c r="B60" s="5" t="n">
        <v>0</v>
      </c>
    </row>
    <row r="61">
      <c r="A61" s="4" t="inlineStr">
        <is>
          <t>Workers in Zone</t>
        </is>
      </c>
      <c r="B61" s="5" t="n">
        <v>0</v>
      </c>
    </row>
    <row r="62">
      <c r="A62" s="4" t="inlineStr">
        <is>
          <t>Nominal Rate/Machine</t>
        </is>
      </c>
      <c r="B62" s="5" t="n">
        <v>200</v>
      </c>
    </row>
    <row r="64">
      <c r="A64" s="19" t="inlineStr">
        <is>
          <t>Fortnight</t>
        </is>
      </c>
      <c r="B64" s="19" t="inlineStr">
        <is>
          <t>Target</t>
        </is>
      </c>
      <c r="C64" s="19" t="inlineStr">
        <is>
          <t>Overtime</t>
        </is>
      </c>
      <c r="D64" s="19" t="inlineStr">
        <is>
          <t>Local Capacity</t>
        </is>
      </c>
      <c r="E64" s="19" t="inlineStr">
        <is>
          <t>Material Cap</t>
        </is>
      </c>
      <c r="F64" s="19" t="inlineStr">
        <is>
          <t>REAL OUTPUT</t>
        </is>
      </c>
      <c r="G64" s="19" t="inlineStr">
        <is>
          <t>Shipment?</t>
        </is>
      </c>
    </row>
    <row r="65">
      <c r="A65" s="4" t="inlineStr">
        <is>
          <t>FN1</t>
        </is>
      </c>
      <c r="B65" s="7" t="n">
        <v>0</v>
      </c>
      <c r="C65" s="8" t="inlineStr">
        <is>
          <t>N</t>
        </is>
      </c>
      <c r="D65" s="9">
        <f>$B$59*$B$62</f>
        <v/>
      </c>
      <c r="E65" s="9">
        <f>$B$60</f>
        <v/>
      </c>
      <c r="F65" s="10">
        <f>MIN(B65,D65,E65)</f>
        <v/>
      </c>
      <c r="G65" s="4">
        <f>IF(B65&gt;E65, "SHIPMENT NEEDED!", "OK")</f>
        <v/>
      </c>
    </row>
    <row r="66">
      <c r="A66" s="4" t="inlineStr">
        <is>
          <t>FN2</t>
        </is>
      </c>
      <c r="B66" s="7" t="n">
        <v>0</v>
      </c>
      <c r="C66" s="8" t="inlineStr">
        <is>
          <t>N</t>
        </is>
      </c>
      <c r="D66" s="9">
        <f>$B$59*$B$62</f>
        <v/>
      </c>
      <c r="E66" s="9">
        <f>$B$60</f>
        <v/>
      </c>
      <c r="F66" s="10">
        <f>MIN(B66,D66,E66)</f>
        <v/>
      </c>
      <c r="G66" s="4">
        <f>IF(B66&gt;E66, "SHIPMENT NEEDED!", "OK")</f>
        <v/>
      </c>
    </row>
    <row r="67">
      <c r="A67" s="4" t="inlineStr">
        <is>
          <t>FN3</t>
        </is>
      </c>
      <c r="B67" s="7" t="n">
        <v>0</v>
      </c>
      <c r="C67" s="8" t="inlineStr">
        <is>
          <t>N</t>
        </is>
      </c>
      <c r="D67" s="9">
        <f>$B$59*$B$62</f>
        <v/>
      </c>
      <c r="E67" s="9">
        <f>$B$60</f>
        <v/>
      </c>
      <c r="F67" s="10">
        <f>MIN(B67,D67,E67)</f>
        <v/>
      </c>
      <c r="G67" s="4">
        <f>IF(B67&gt;E67, "SHIPMENT NEEDED!", "OK")</f>
        <v/>
      </c>
    </row>
    <row r="68">
      <c r="A68" s="4" t="inlineStr">
        <is>
          <t>FN4</t>
        </is>
      </c>
      <c r="B68" s="7" t="n">
        <v>0</v>
      </c>
      <c r="C68" s="8" t="inlineStr">
        <is>
          <t>N</t>
        </is>
      </c>
      <c r="D68" s="9">
        <f>$B$59*$B$62</f>
        <v/>
      </c>
      <c r="E68" s="9">
        <f>$B$60</f>
        <v/>
      </c>
      <c r="F68" s="10">
        <f>MIN(B68,D68,E68)</f>
        <v/>
      </c>
      <c r="G68" s="4">
        <f>IF(B68&gt;E68, "SHIPMENT NEEDED!", "OK")</f>
        <v/>
      </c>
    </row>
    <row r="69">
      <c r="A69" s="4" t="inlineStr">
        <is>
          <t>FN5</t>
        </is>
      </c>
      <c r="B69" s="7" t="n">
        <v>0</v>
      </c>
      <c r="C69" s="8" t="inlineStr">
        <is>
          <t>N</t>
        </is>
      </c>
      <c r="D69" s="9">
        <f>$B$59*$B$62</f>
        <v/>
      </c>
      <c r="E69" s="9">
        <f>$B$60</f>
        <v/>
      </c>
      <c r="F69" s="10">
        <f>MIN(B69,D69,E69)</f>
        <v/>
      </c>
      <c r="G69" s="4">
        <f>IF(B69&gt;E69, "SHIPMENT NEEDED!", "OK")</f>
        <v/>
      </c>
    </row>
    <row r="70">
      <c r="A70" s="4" t="inlineStr">
        <is>
          <t>FN6</t>
        </is>
      </c>
      <c r="B70" s="7" t="n">
        <v>0</v>
      </c>
      <c r="C70" s="8" t="inlineStr">
        <is>
          <t>N</t>
        </is>
      </c>
      <c r="D70" s="9">
        <f>$B$59*$B$62</f>
        <v/>
      </c>
      <c r="E70" s="9">
        <f>$B$60</f>
        <v/>
      </c>
      <c r="F70" s="10">
        <f>MIN(B70,D70,E70)</f>
        <v/>
      </c>
      <c r="G70" s="4">
        <f>IF(B70&gt;E70, "SHIPMENT NEEDED!", "OK")</f>
        <v/>
      </c>
    </row>
    <row r="71">
      <c r="A71" s="4" t="inlineStr">
        <is>
          <t>FN7</t>
        </is>
      </c>
      <c r="B71" s="7" t="n">
        <v>0</v>
      </c>
      <c r="C71" s="8" t="inlineStr">
        <is>
          <t>N</t>
        </is>
      </c>
      <c r="D71" s="9">
        <f>$B$59*$B$62</f>
        <v/>
      </c>
      <c r="E71" s="9">
        <f>$B$60</f>
        <v/>
      </c>
      <c r="F71" s="10">
        <f>MIN(B71,D71,E71)</f>
        <v/>
      </c>
      <c r="G71" s="4">
        <f>IF(B71&gt;E71, "SHIPMENT NEEDED!", "OK")</f>
        <v/>
      </c>
    </row>
    <row r="72">
      <c r="A72" s="4" t="inlineStr">
        <is>
          <t>FN8</t>
        </is>
      </c>
      <c r="B72" s="7" t="n">
        <v>0</v>
      </c>
      <c r="C72" s="8" t="inlineStr">
        <is>
          <t>N</t>
        </is>
      </c>
      <c r="D72" s="9">
        <f>$B$59*$B$62</f>
        <v/>
      </c>
      <c r="E72" s="9">
        <f>$B$60</f>
        <v/>
      </c>
      <c r="F72" s="10">
        <f>MIN(B72,D72,E72)</f>
        <v/>
      </c>
      <c r="G72" s="4">
        <f>IF(B72&gt;E72, "SHIPMENT NEEDED!", "OK")</f>
        <v/>
      </c>
    </row>
    <row r="73">
      <c r="A73" s="11" t="inlineStr">
        <is>
          <t>TOTAL</t>
        </is>
      </c>
      <c r="B73" s="12">
        <f>SUM(B65:B72)</f>
        <v/>
      </c>
      <c r="F73" s="13">
        <f>SUM(F65:F72)</f>
        <v/>
      </c>
    </row>
    <row r="76">
      <c r="A76" s="20" t="inlineStr">
        <is>
          <t>═══ SOUTH ZONE ═══</t>
        </is>
      </c>
    </row>
    <row r="77">
      <c r="A77" s="4" t="inlineStr">
        <is>
          <t>Machines in Zone</t>
        </is>
      </c>
      <c r="B77" s="5" t="n">
        <v>0</v>
      </c>
    </row>
    <row r="78">
      <c r="A78" s="4" t="inlineStr">
        <is>
          <t>Material Stock (Part A)</t>
        </is>
      </c>
      <c r="B78" s="5" t="n">
        <v>0</v>
      </c>
    </row>
    <row r="79">
      <c r="A79" s="4" t="inlineStr">
        <is>
          <t>Workers in Zone</t>
        </is>
      </c>
      <c r="B79" s="5" t="n">
        <v>0</v>
      </c>
    </row>
    <row r="80">
      <c r="A80" s="4" t="inlineStr">
        <is>
          <t>Nominal Rate/Machine</t>
        </is>
      </c>
      <c r="B80" s="5" t="n">
        <v>200</v>
      </c>
    </row>
    <row r="82">
      <c r="A82" s="21" t="inlineStr">
        <is>
          <t>Fortnight</t>
        </is>
      </c>
      <c r="B82" s="21" t="inlineStr">
        <is>
          <t>Target</t>
        </is>
      </c>
      <c r="C82" s="21" t="inlineStr">
        <is>
          <t>Overtime</t>
        </is>
      </c>
      <c r="D82" s="21" t="inlineStr">
        <is>
          <t>Local Capacity</t>
        </is>
      </c>
      <c r="E82" s="21" t="inlineStr">
        <is>
          <t>Material Cap</t>
        </is>
      </c>
      <c r="F82" s="21" t="inlineStr">
        <is>
          <t>REAL OUTPUT</t>
        </is>
      </c>
      <c r="G82" s="21" t="inlineStr">
        <is>
          <t>Shipment?</t>
        </is>
      </c>
    </row>
    <row r="83">
      <c r="A83" s="4" t="inlineStr">
        <is>
          <t>FN1</t>
        </is>
      </c>
      <c r="B83" s="7" t="n">
        <v>0</v>
      </c>
      <c r="C83" s="8" t="inlineStr">
        <is>
          <t>N</t>
        </is>
      </c>
      <c r="D83" s="9">
        <f>$B$77*$B$80</f>
        <v/>
      </c>
      <c r="E83" s="9">
        <f>$B$78</f>
        <v/>
      </c>
      <c r="F83" s="10">
        <f>MIN(B83,D83,E83)</f>
        <v/>
      </c>
      <c r="G83" s="4">
        <f>IF(B83&gt;E83, "SHIPMENT NEEDED!", "OK")</f>
        <v/>
      </c>
    </row>
    <row r="84">
      <c r="A84" s="4" t="inlineStr">
        <is>
          <t>FN2</t>
        </is>
      </c>
      <c r="B84" s="7" t="n">
        <v>0</v>
      </c>
      <c r="C84" s="8" t="inlineStr">
        <is>
          <t>N</t>
        </is>
      </c>
      <c r="D84" s="9">
        <f>$B$77*$B$80</f>
        <v/>
      </c>
      <c r="E84" s="9">
        <f>$B$78</f>
        <v/>
      </c>
      <c r="F84" s="10">
        <f>MIN(B84,D84,E84)</f>
        <v/>
      </c>
      <c r="G84" s="4">
        <f>IF(B84&gt;E84, "SHIPMENT NEEDED!", "OK")</f>
        <v/>
      </c>
    </row>
    <row r="85">
      <c r="A85" s="4" t="inlineStr">
        <is>
          <t>FN3</t>
        </is>
      </c>
      <c r="B85" s="7" t="n">
        <v>0</v>
      </c>
      <c r="C85" s="8" t="inlineStr">
        <is>
          <t>N</t>
        </is>
      </c>
      <c r="D85" s="9">
        <f>$B$77*$B$80</f>
        <v/>
      </c>
      <c r="E85" s="9">
        <f>$B$78</f>
        <v/>
      </c>
      <c r="F85" s="10">
        <f>MIN(B85,D85,E85)</f>
        <v/>
      </c>
      <c r="G85" s="4">
        <f>IF(B85&gt;E85, "SHIPMENT NEEDED!", "OK")</f>
        <v/>
      </c>
    </row>
    <row r="86">
      <c r="A86" s="4" t="inlineStr">
        <is>
          <t>FN4</t>
        </is>
      </c>
      <c r="B86" s="7" t="n">
        <v>0</v>
      </c>
      <c r="C86" s="8" t="inlineStr">
        <is>
          <t>N</t>
        </is>
      </c>
      <c r="D86" s="9">
        <f>$B$77*$B$80</f>
        <v/>
      </c>
      <c r="E86" s="9">
        <f>$B$78</f>
        <v/>
      </c>
      <c r="F86" s="10">
        <f>MIN(B86,D86,E86)</f>
        <v/>
      </c>
      <c r="G86" s="4">
        <f>IF(B86&gt;E86, "SHIPMENT NEEDED!", "OK")</f>
        <v/>
      </c>
    </row>
    <row r="87">
      <c r="A87" s="4" t="inlineStr">
        <is>
          <t>FN5</t>
        </is>
      </c>
      <c r="B87" s="7" t="n">
        <v>0</v>
      </c>
      <c r="C87" s="8" t="inlineStr">
        <is>
          <t>N</t>
        </is>
      </c>
      <c r="D87" s="9">
        <f>$B$77*$B$80</f>
        <v/>
      </c>
      <c r="E87" s="9">
        <f>$B$78</f>
        <v/>
      </c>
      <c r="F87" s="10">
        <f>MIN(B87,D87,E87)</f>
        <v/>
      </c>
      <c r="G87" s="4">
        <f>IF(B87&gt;E87, "SHIPMENT NEEDED!", "OK")</f>
        <v/>
      </c>
    </row>
    <row r="88">
      <c r="A88" s="4" t="inlineStr">
        <is>
          <t>FN6</t>
        </is>
      </c>
      <c r="B88" s="7" t="n">
        <v>0</v>
      </c>
      <c r="C88" s="8" t="inlineStr">
        <is>
          <t>N</t>
        </is>
      </c>
      <c r="D88" s="9">
        <f>$B$77*$B$80</f>
        <v/>
      </c>
      <c r="E88" s="9">
        <f>$B$78</f>
        <v/>
      </c>
      <c r="F88" s="10">
        <f>MIN(B88,D88,E88)</f>
        <v/>
      </c>
      <c r="G88" s="4">
        <f>IF(B88&gt;E88, "SHIPMENT NEEDED!", "OK")</f>
        <v/>
      </c>
    </row>
    <row r="89">
      <c r="A89" s="4" t="inlineStr">
        <is>
          <t>FN7</t>
        </is>
      </c>
      <c r="B89" s="7" t="n">
        <v>0</v>
      </c>
      <c r="C89" s="8" t="inlineStr">
        <is>
          <t>N</t>
        </is>
      </c>
      <c r="D89" s="9">
        <f>$B$77*$B$80</f>
        <v/>
      </c>
      <c r="E89" s="9">
        <f>$B$78</f>
        <v/>
      </c>
      <c r="F89" s="10">
        <f>MIN(B89,D89,E89)</f>
        <v/>
      </c>
      <c r="G89" s="4">
        <f>IF(B89&gt;E89, "SHIPMENT NEEDED!", "OK")</f>
        <v/>
      </c>
    </row>
    <row r="90">
      <c r="A90" s="4" t="inlineStr">
        <is>
          <t>FN8</t>
        </is>
      </c>
      <c r="B90" s="7" t="n">
        <v>0</v>
      </c>
      <c r="C90" s="8" t="inlineStr">
        <is>
          <t>N</t>
        </is>
      </c>
      <c r="D90" s="9">
        <f>$B$77*$B$80</f>
        <v/>
      </c>
      <c r="E90" s="9">
        <f>$B$78</f>
        <v/>
      </c>
      <c r="F90" s="10">
        <f>MIN(B90,D90,E90)</f>
        <v/>
      </c>
      <c r="G90" s="4">
        <f>IF(B90&gt;E90, "SHIPMENT NEEDED!", "OK")</f>
        <v/>
      </c>
    </row>
    <row r="91">
      <c r="A91" s="11" t="inlineStr">
        <is>
          <t>TOTAL</t>
        </is>
      </c>
      <c r="B91" s="12">
        <f>SUM(B83:B90)</f>
        <v/>
      </c>
      <c r="F91" s="13">
        <f>SUM(F83:F90)</f>
        <v/>
      </c>
    </row>
  </sheetData>
  <mergeCells count="5">
    <mergeCell ref="A4:H4"/>
    <mergeCell ref="A76:H76"/>
    <mergeCell ref="A58:H58"/>
    <mergeCell ref="A22:H22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28" customWidth="1" min="5" max="5"/>
  </cols>
  <sheetData>
    <row r="1">
      <c r="A1" s="1" t="inlineStr">
        <is>
          <t>RESOURCE MANAGER - Zone-by-Zone Asset Allocation</t>
        </is>
      </c>
    </row>
    <row r="3">
      <c r="A3" s="22" t="inlineStr">
        <is>
          <t>SECTION A: MACHINE ASSIGNMENTS BY ZONE</t>
        </is>
      </c>
    </row>
    <row r="5">
      <c r="A5" s="23" t="inlineStr">
        <is>
          <t>Zone</t>
        </is>
      </c>
      <c r="B5" s="23" t="inlineStr">
        <is>
          <t>Section</t>
        </is>
      </c>
      <c r="C5" s="23" t="inlineStr">
        <is>
          <t>Machines Assigned</t>
        </is>
      </c>
      <c r="D5" s="23" t="inlineStr">
        <is>
          <t>Workers Needed</t>
        </is>
      </c>
      <c r="E5" s="23" t="inlineStr">
        <is>
          <t>Status</t>
        </is>
      </c>
    </row>
    <row r="6">
      <c r="A6" s="24" t="inlineStr">
        <is>
          <t>Center</t>
        </is>
      </c>
      <c r="B6" s="4" t="inlineStr">
        <is>
          <t>Section 1</t>
        </is>
      </c>
      <c r="C6" s="7" t="n">
        <v>20</v>
      </c>
      <c r="D6" s="9">
        <f>C6*5</f>
        <v/>
      </c>
      <c r="E6" s="25" t="inlineStr">
        <is>
          <t>OK</t>
        </is>
      </c>
    </row>
    <row r="7">
      <c r="A7" s="24" t="inlineStr">
        <is>
          <t>Center</t>
        </is>
      </c>
      <c r="B7" s="4" t="inlineStr">
        <is>
          <t>Section 2</t>
        </is>
      </c>
      <c r="C7" s="7" t="n">
        <v>20</v>
      </c>
      <c r="D7" s="9">
        <f>C7*5</f>
        <v/>
      </c>
      <c r="E7" s="25" t="inlineStr">
        <is>
          <t>OK</t>
        </is>
      </c>
    </row>
    <row r="8">
      <c r="A8" s="24" t="inlineStr">
        <is>
          <t>Center</t>
        </is>
      </c>
      <c r="B8" s="4" t="inlineStr">
        <is>
          <t>Section 3</t>
        </is>
      </c>
      <c r="C8" s="7" t="n">
        <v>17</v>
      </c>
      <c r="D8" s="9">
        <f>C8*5</f>
        <v/>
      </c>
      <c r="E8" s="25" t="inlineStr">
        <is>
          <t>OK</t>
        </is>
      </c>
    </row>
    <row r="9">
      <c r="A9" s="26" t="inlineStr">
        <is>
          <t>West</t>
        </is>
      </c>
      <c r="B9" s="4" t="inlineStr">
        <is>
          <t>Section 1</t>
        </is>
      </c>
      <c r="C9" s="7" t="n">
        <v>0</v>
      </c>
      <c r="D9" s="9">
        <f>C9*5</f>
        <v/>
      </c>
      <c r="E9" s="25" t="inlineStr">
        <is>
          <t>OK</t>
        </is>
      </c>
    </row>
    <row r="10">
      <c r="A10" s="26" t="inlineStr">
        <is>
          <t>West</t>
        </is>
      </c>
      <c r="B10" s="4" t="inlineStr">
        <is>
          <t>Section 2</t>
        </is>
      </c>
      <c r="C10" s="7" t="n">
        <v>0</v>
      </c>
      <c r="D10" s="9">
        <f>C10*5</f>
        <v/>
      </c>
      <c r="E10" s="25" t="inlineStr">
        <is>
          <t>OK</t>
        </is>
      </c>
    </row>
    <row r="11">
      <c r="A11" s="26" t="inlineStr">
        <is>
          <t>West</t>
        </is>
      </c>
      <c r="B11" s="4" t="inlineStr">
        <is>
          <t>Section 3</t>
        </is>
      </c>
      <c r="C11" s="7" t="n">
        <v>0</v>
      </c>
      <c r="D11" s="9">
        <f>C11*5</f>
        <v/>
      </c>
      <c r="E11" s="25" t="inlineStr">
        <is>
          <t>OK</t>
        </is>
      </c>
    </row>
    <row r="12">
      <c r="A12" s="27" t="inlineStr">
        <is>
          <t>North</t>
        </is>
      </c>
      <c r="B12" s="4" t="inlineStr">
        <is>
          <t>Section 1</t>
        </is>
      </c>
      <c r="C12" s="7" t="n">
        <v>0</v>
      </c>
      <c r="D12" s="9">
        <f>C12*5</f>
        <v/>
      </c>
      <c r="E12" s="25" t="inlineStr">
        <is>
          <t>OK</t>
        </is>
      </c>
    </row>
    <row r="13">
      <c r="A13" s="27" t="inlineStr">
        <is>
          <t>North</t>
        </is>
      </c>
      <c r="B13" s="4" t="inlineStr">
        <is>
          <t>Section 2</t>
        </is>
      </c>
      <c r="C13" s="7" t="n">
        <v>0</v>
      </c>
      <c r="D13" s="9">
        <f>C13*5</f>
        <v/>
      </c>
      <c r="E13" s="25" t="inlineStr">
        <is>
          <t>OK</t>
        </is>
      </c>
    </row>
    <row r="14">
      <c r="A14" s="27" t="inlineStr">
        <is>
          <t>North</t>
        </is>
      </c>
      <c r="B14" s="4" t="inlineStr">
        <is>
          <t>Section 3</t>
        </is>
      </c>
      <c r="C14" s="7" t="n">
        <v>0</v>
      </c>
      <c r="D14" s="9">
        <f>C14*5</f>
        <v/>
      </c>
      <c r="E14" s="25" t="inlineStr">
        <is>
          <t>OK</t>
        </is>
      </c>
    </row>
    <row r="15">
      <c r="A15" s="28" t="inlineStr">
        <is>
          <t>East</t>
        </is>
      </c>
      <c r="B15" s="4" t="inlineStr">
        <is>
          <t>Section 1</t>
        </is>
      </c>
      <c r="C15" s="7" t="n">
        <v>0</v>
      </c>
      <c r="D15" s="9">
        <f>C15*5</f>
        <v/>
      </c>
      <c r="E15" s="25" t="inlineStr">
        <is>
          <t>OK</t>
        </is>
      </c>
    </row>
    <row r="16">
      <c r="A16" s="28" t="inlineStr">
        <is>
          <t>East</t>
        </is>
      </c>
      <c r="B16" s="4" t="inlineStr">
        <is>
          <t>Section 2</t>
        </is>
      </c>
      <c r="C16" s="7" t="n">
        <v>0</v>
      </c>
      <c r="D16" s="9">
        <f>C16*5</f>
        <v/>
      </c>
      <c r="E16" s="25" t="inlineStr">
        <is>
          <t>OK</t>
        </is>
      </c>
    </row>
    <row r="17">
      <c r="A17" s="28" t="inlineStr">
        <is>
          <t>East</t>
        </is>
      </c>
      <c r="B17" s="4" t="inlineStr">
        <is>
          <t>Section 3</t>
        </is>
      </c>
      <c r="C17" s="7" t="n">
        <v>0</v>
      </c>
      <c r="D17" s="9">
        <f>C17*5</f>
        <v/>
      </c>
      <c r="E17" s="25" t="inlineStr">
        <is>
          <t>OK</t>
        </is>
      </c>
    </row>
    <row r="18">
      <c r="A18" s="29" t="inlineStr">
        <is>
          <t>South</t>
        </is>
      </c>
      <c r="B18" s="4" t="inlineStr">
        <is>
          <t>Section 1</t>
        </is>
      </c>
      <c r="C18" s="7" t="n">
        <v>0</v>
      </c>
      <c r="D18" s="9">
        <f>C18*5</f>
        <v/>
      </c>
      <c r="E18" s="25" t="inlineStr">
        <is>
          <t>OK</t>
        </is>
      </c>
    </row>
    <row r="19">
      <c r="A19" s="29" t="inlineStr">
        <is>
          <t>South</t>
        </is>
      </c>
      <c r="B19" s="4" t="inlineStr">
        <is>
          <t>Section 2</t>
        </is>
      </c>
      <c r="C19" s="7" t="n">
        <v>0</v>
      </c>
      <c r="D19" s="9">
        <f>C19*5</f>
        <v/>
      </c>
      <c r="E19" s="25" t="inlineStr">
        <is>
          <t>OK</t>
        </is>
      </c>
    </row>
    <row r="20">
      <c r="A20" s="29" t="inlineStr">
        <is>
          <t>South</t>
        </is>
      </c>
      <c r="B20" s="4" t="inlineStr">
        <is>
          <t>Section 3</t>
        </is>
      </c>
      <c r="C20" s="7" t="n">
        <v>0</v>
      </c>
      <c r="D20" s="9">
        <f>C20*5</f>
        <v/>
      </c>
      <c r="E20" s="25" t="inlineStr">
        <is>
          <t>OK</t>
        </is>
      </c>
    </row>
    <row r="24">
      <c r="A24" s="22" t="inlineStr">
        <is>
          <t>SECTION B: EXPANSION RECOMMENDATIONS BY ZONE</t>
        </is>
      </c>
    </row>
    <row r="26">
      <c r="A26" s="23" t="inlineStr">
        <is>
          <t>Zone</t>
        </is>
      </c>
      <c r="B26" s="23" t="inlineStr">
        <is>
          <t>Target Capacity</t>
        </is>
      </c>
      <c r="C26" s="23" t="inlineStr">
        <is>
          <t>Current Machines</t>
        </is>
      </c>
      <c r="D26" s="23" t="inlineStr">
        <is>
          <t>Capacity Gap</t>
        </is>
      </c>
      <c r="E26" s="23" t="inlineStr">
        <is>
          <t>Recommendation</t>
        </is>
      </c>
    </row>
    <row r="27">
      <c r="A27" s="24" t="inlineStr">
        <is>
          <t>Center</t>
        </is>
      </c>
      <c r="B27" s="5">
        <f>ZONE_CALCULATORS!B19</f>
        <v/>
      </c>
      <c r="C27" s="4" t="n">
        <v>156</v>
      </c>
      <c r="D27" s="9">
        <f>B27-(C27*200)</f>
        <v/>
      </c>
      <c r="E27" s="25">
        <f>IF(D27&gt;0, "Buy "&amp;ROUNDUP(D27/200,0)&amp;" machines", "OK")</f>
        <v/>
      </c>
    </row>
    <row r="28">
      <c r="A28" s="26" t="inlineStr">
        <is>
          <t>West</t>
        </is>
      </c>
      <c r="B28" s="5">
        <f>ZONE_CALCULATORS!B37</f>
        <v/>
      </c>
      <c r="C28" s="4" t="n">
        <v>0</v>
      </c>
      <c r="D28" s="9">
        <f>B28-(C28*200)</f>
        <v/>
      </c>
      <c r="E28" s="25">
        <f>IF(D28&gt;0, "Buy "&amp;ROUNDUP(D28/200,0)&amp;" machines", "OK")</f>
        <v/>
      </c>
    </row>
    <row r="29">
      <c r="A29" s="27" t="inlineStr">
        <is>
          <t>North</t>
        </is>
      </c>
      <c r="B29" s="5">
        <f>ZONE_CALCULATORS!B55</f>
        <v/>
      </c>
      <c r="C29" s="4" t="n">
        <v>0</v>
      </c>
      <c r="D29" s="9">
        <f>B29-(C29*200)</f>
        <v/>
      </c>
      <c r="E29" s="25">
        <f>IF(D29&gt;0, "Buy "&amp;ROUNDUP(D29/200,0)&amp;" machines", "OK")</f>
        <v/>
      </c>
    </row>
    <row r="30">
      <c r="A30" s="28" t="inlineStr">
        <is>
          <t>East</t>
        </is>
      </c>
      <c r="B30" s="5">
        <f>ZONE_CALCULATORS!B73</f>
        <v/>
      </c>
      <c r="C30" s="4" t="n">
        <v>0</v>
      </c>
      <c r="D30" s="9">
        <f>B30-(C30*200)</f>
        <v/>
      </c>
      <c r="E30" s="25">
        <f>IF(D30&gt;0, "Buy "&amp;ROUNDUP(D30/200,0)&amp;" machines", "OK")</f>
        <v/>
      </c>
    </row>
    <row r="31">
      <c r="A31" s="29" t="inlineStr">
        <is>
          <t>South</t>
        </is>
      </c>
      <c r="B31" s="5">
        <f>ZONE_CALCULATORS!B91</f>
        <v/>
      </c>
      <c r="C31" s="4" t="n">
        <v>0</v>
      </c>
      <c r="D31" s="9">
        <f>B31-(C31*200)</f>
        <v/>
      </c>
      <c r="E31" s="25">
        <f>IF(D31&gt;0, "Buy "&amp;ROUNDUP(D31/200,0)&amp;" machines", "OK")</f>
        <v/>
      </c>
    </row>
    <row r="35">
      <c r="A35" s="22" t="inlineStr">
        <is>
          <t>SECTION C: REAL ESTATE (MODULES) BY ZONE</t>
        </is>
      </c>
    </row>
    <row r="37">
      <c r="A37" s="23" t="inlineStr">
        <is>
          <t>Zone</t>
        </is>
      </c>
      <c r="B37" s="23" t="inlineStr">
        <is>
          <t>Machines</t>
        </is>
      </c>
      <c r="C37" s="23" t="inlineStr">
        <is>
          <t>Module Slots</t>
        </is>
      </c>
      <c r="D37" s="23" t="inlineStr">
        <is>
          <t>Free Slots</t>
        </is>
      </c>
      <c r="E37" s="23" t="inlineStr">
        <is>
          <t>Recommendation</t>
        </is>
      </c>
    </row>
    <row r="38">
      <c r="A38" s="24" t="inlineStr">
        <is>
          <t>Center</t>
        </is>
      </c>
      <c r="B38" s="4" t="n">
        <v>156</v>
      </c>
      <c r="C38" s="4" t="n">
        <v>0</v>
      </c>
      <c r="D38" s="9">
        <f>C38-B38</f>
        <v/>
      </c>
      <c r="E38" s="25">
        <f>IF(D38&lt;5, "Buy module in Center", "OK")</f>
        <v/>
      </c>
    </row>
    <row r="39">
      <c r="A39" s="26" t="inlineStr">
        <is>
          <t>West</t>
        </is>
      </c>
      <c r="B39" s="4" t="n">
        <v>0</v>
      </c>
      <c r="C39" s="4" t="n">
        <v>0</v>
      </c>
      <c r="D39" s="9">
        <f>C39-B39</f>
        <v/>
      </c>
      <c r="E39" s="25">
        <f>IF(D39&lt;5, "Buy module in West", "OK")</f>
        <v/>
      </c>
    </row>
    <row r="40">
      <c r="A40" s="27" t="inlineStr">
        <is>
          <t>North</t>
        </is>
      </c>
      <c r="B40" s="4" t="n">
        <v>0</v>
      </c>
      <c r="C40" s="4" t="n">
        <v>0</v>
      </c>
      <c r="D40" s="9">
        <f>C40-B40</f>
        <v/>
      </c>
      <c r="E40" s="25">
        <f>IF(D40&lt;5, "Buy module in North", "OK")</f>
        <v/>
      </c>
    </row>
    <row r="41">
      <c r="A41" s="28" t="inlineStr">
        <is>
          <t>East</t>
        </is>
      </c>
      <c r="B41" s="4" t="n">
        <v>0</v>
      </c>
      <c r="C41" s="4" t="n">
        <v>0</v>
      </c>
      <c r="D41" s="9">
        <f>C41-B41</f>
        <v/>
      </c>
      <c r="E41" s="25">
        <f>IF(D41&lt;5, "Buy module in East", "OK")</f>
        <v/>
      </c>
    </row>
    <row r="42">
      <c r="A42" s="29" t="inlineStr">
        <is>
          <t>South</t>
        </is>
      </c>
      <c r="B42" s="4" t="n">
        <v>0</v>
      </c>
      <c r="C42" s="4" t="n">
        <v>0</v>
      </c>
      <c r="D42" s="9">
        <f>C42-B42</f>
        <v/>
      </c>
      <c r="E42" s="25">
        <f>IF(D42&lt;5, "Buy module in South", "OK")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PRODUCTION DECISIONS - ExSim Upload (Zone-Mapped)</t>
        </is>
      </c>
    </row>
    <row r="2">
      <c r="A2" s="2" t="inlineStr">
        <is>
          <t>Values linked from Zone Calculators</t>
        </is>
      </c>
    </row>
    <row r="4">
      <c r="A4" s="22" t="inlineStr">
        <is>
          <t>Production Targets</t>
        </is>
      </c>
    </row>
    <row r="5">
      <c r="A5" s="23" t="inlineStr">
        <is>
          <t>Zone</t>
        </is>
      </c>
      <c r="B5" s="23" t="inlineStr">
        <is>
          <t>Product</t>
        </is>
      </c>
      <c r="C5" s="23" t="inlineStr">
        <is>
          <t>Target</t>
        </is>
      </c>
      <c r="D5" s="23" t="inlineStr">
        <is>
          <t>Overtime</t>
        </is>
      </c>
    </row>
    <row r="6">
      <c r="A6" s="24" t="inlineStr">
        <is>
          <t>Center</t>
        </is>
      </c>
      <c r="B6" s="4" t="inlineStr">
        <is>
          <t>A</t>
        </is>
      </c>
      <c r="C6" s="9">
        <f>ZONE_CALCULATORS!F19</f>
        <v/>
      </c>
      <c r="D6" s="9">
        <f>ZONE_CALCULATORS!C11</f>
        <v/>
      </c>
    </row>
    <row r="7">
      <c r="A7" s="26" t="inlineStr">
        <is>
          <t>West</t>
        </is>
      </c>
      <c r="B7" s="4" t="inlineStr">
        <is>
          <t>A</t>
        </is>
      </c>
      <c r="C7" s="9">
        <f>ZONE_CALCULATORS!F37</f>
        <v/>
      </c>
      <c r="D7" s="9">
        <f>ZONE_CALCULATORS!C29</f>
        <v/>
      </c>
    </row>
    <row r="8">
      <c r="A8" s="27" t="inlineStr">
        <is>
          <t>North</t>
        </is>
      </c>
      <c r="B8" s="4" t="inlineStr">
        <is>
          <t>A</t>
        </is>
      </c>
      <c r="C8" s="9">
        <f>ZONE_CALCULATORS!F55</f>
        <v/>
      </c>
      <c r="D8" s="9">
        <f>ZONE_CALCULATORS!C47</f>
        <v/>
      </c>
    </row>
    <row r="9">
      <c r="A9" s="28" t="inlineStr">
        <is>
          <t>East</t>
        </is>
      </c>
      <c r="B9" s="4" t="inlineStr">
        <is>
          <t>A</t>
        </is>
      </c>
      <c r="C9" s="9">
        <f>ZONE_CALCULATORS!F73</f>
        <v/>
      </c>
      <c r="D9" s="9">
        <f>ZONE_CALCULATORS!C65</f>
        <v/>
      </c>
    </row>
    <row r="10">
      <c r="A10" s="29" t="inlineStr">
        <is>
          <t>South</t>
        </is>
      </c>
      <c r="B10" s="4" t="inlineStr">
        <is>
          <t>A</t>
        </is>
      </c>
      <c r="C10" s="9">
        <f>ZONE_CALCULATORS!F91</f>
        <v/>
      </c>
      <c r="D10" s="9">
        <f>ZONE_CALCULATORS!C83</f>
        <v/>
      </c>
    </row>
    <row r="13">
      <c r="A13" s="22" t="inlineStr">
        <is>
          <t>Machine Purchases</t>
        </is>
      </c>
    </row>
    <row r="14">
      <c r="A14" s="23" t="inlineStr">
        <is>
          <t>Zone</t>
        </is>
      </c>
      <c r="B14" s="23" t="inlineStr">
        <is>
          <t>Machine Type</t>
        </is>
      </c>
      <c r="C14" s="23" t="inlineStr">
        <is>
          <t>Quantity</t>
        </is>
      </c>
    </row>
    <row r="15">
      <c r="A15" s="24" t="inlineStr">
        <is>
          <t>Center</t>
        </is>
      </c>
      <c r="B15" s="4" t="inlineStr">
        <is>
          <t>M1</t>
        </is>
      </c>
      <c r="C15" s="7" t="n">
        <v>0</v>
      </c>
    </row>
    <row r="16">
      <c r="A16" s="24" t="inlineStr">
        <is>
          <t>Center</t>
        </is>
      </c>
      <c r="B16" s="4" t="inlineStr">
        <is>
          <t>M2</t>
        </is>
      </c>
      <c r="C16" s="7" t="n">
        <v>0</v>
      </c>
    </row>
    <row r="17">
      <c r="A17" s="26" t="inlineStr">
        <is>
          <t>West</t>
        </is>
      </c>
      <c r="B17" s="4" t="inlineStr">
        <is>
          <t>M1</t>
        </is>
      </c>
      <c r="C17" s="7" t="n">
        <v>0</v>
      </c>
    </row>
    <row r="18">
      <c r="A18" s="26" t="inlineStr">
        <is>
          <t>West</t>
        </is>
      </c>
      <c r="B18" s="4" t="inlineStr">
        <is>
          <t>M2</t>
        </is>
      </c>
      <c r="C18" s="7" t="n">
        <v>0</v>
      </c>
    </row>
    <row r="19">
      <c r="A19" s="27" t="inlineStr">
        <is>
          <t>North</t>
        </is>
      </c>
      <c r="B19" s="4" t="inlineStr">
        <is>
          <t>M1</t>
        </is>
      </c>
      <c r="C19" s="7" t="n">
        <v>0</v>
      </c>
    </row>
    <row r="20">
      <c r="A20" s="27" t="inlineStr">
        <is>
          <t>North</t>
        </is>
      </c>
      <c r="B20" s="4" t="inlineStr">
        <is>
          <t>M2</t>
        </is>
      </c>
      <c r="C20" s="7" t="n">
        <v>0</v>
      </c>
    </row>
    <row r="21">
      <c r="A21" s="28" t="inlineStr">
        <is>
          <t>East</t>
        </is>
      </c>
      <c r="B21" s="4" t="inlineStr">
        <is>
          <t>M1</t>
        </is>
      </c>
      <c r="C21" s="7" t="n">
        <v>0</v>
      </c>
    </row>
    <row r="22">
      <c r="A22" s="28" t="inlineStr">
        <is>
          <t>East</t>
        </is>
      </c>
      <c r="B22" s="4" t="inlineStr">
        <is>
          <t>M2</t>
        </is>
      </c>
      <c r="C22" s="7" t="n">
        <v>0</v>
      </c>
    </row>
    <row r="23">
      <c r="A23" s="29" t="inlineStr">
        <is>
          <t>South</t>
        </is>
      </c>
      <c r="B23" s="4" t="inlineStr">
        <is>
          <t>M1</t>
        </is>
      </c>
      <c r="C23" s="7" t="n">
        <v>0</v>
      </c>
    </row>
    <row r="24">
      <c r="A24" s="29" t="inlineStr">
        <is>
          <t>South</t>
        </is>
      </c>
      <c r="B24" s="4" t="inlineStr">
        <is>
          <t>M2</t>
        </is>
      </c>
      <c r="C24" s="7" t="n">
        <v>0</v>
      </c>
    </row>
    <row r="27">
      <c r="A27" s="22" t="inlineStr">
        <is>
          <t>Section Assignments</t>
        </is>
      </c>
    </row>
    <row r="28">
      <c r="A28" s="23" t="inlineStr">
        <is>
          <t>Zone</t>
        </is>
      </c>
      <c r="B28" s="23" t="inlineStr">
        <is>
          <t>Section</t>
        </is>
      </c>
      <c r="C28" s="23" t="inlineStr">
        <is>
          <t>Machines</t>
        </is>
      </c>
      <c r="D28" s="23" t="inlineStr">
        <is>
          <t>Workers</t>
        </is>
      </c>
    </row>
    <row r="29">
      <c r="A29" s="24" t="inlineStr">
        <is>
          <t>Center</t>
        </is>
      </c>
      <c r="B29" s="4" t="inlineStr">
        <is>
          <t>Section 1</t>
        </is>
      </c>
      <c r="C29" s="9">
        <f>RESOURCE_MGR!C6</f>
        <v/>
      </c>
      <c r="D29" s="9">
        <f>RESOURCE_MGR!D6</f>
        <v/>
      </c>
    </row>
    <row r="30">
      <c r="A30" s="24" t="inlineStr">
        <is>
          <t>Center</t>
        </is>
      </c>
      <c r="B30" s="4" t="inlineStr">
        <is>
          <t>Section 2</t>
        </is>
      </c>
      <c r="C30" s="9">
        <f>RESOURCE_MGR!C7</f>
        <v/>
      </c>
      <c r="D30" s="9">
        <f>RESOURCE_MGR!D7</f>
        <v/>
      </c>
    </row>
    <row r="31">
      <c r="A31" s="24" t="inlineStr">
        <is>
          <t>Center</t>
        </is>
      </c>
      <c r="B31" s="4" t="inlineStr">
        <is>
          <t>Section 3</t>
        </is>
      </c>
      <c r="C31" s="9">
        <f>RESOURCE_MGR!C8</f>
        <v/>
      </c>
      <c r="D31" s="9">
        <f>RESOURCE_MGR!D8</f>
        <v/>
      </c>
    </row>
    <row r="32">
      <c r="A32" s="26" t="inlineStr">
        <is>
          <t>West</t>
        </is>
      </c>
      <c r="B32" s="4" t="inlineStr">
        <is>
          <t>Section 1</t>
        </is>
      </c>
      <c r="C32" s="9">
        <f>RESOURCE_MGR!C9</f>
        <v/>
      </c>
      <c r="D32" s="9">
        <f>RESOURCE_MGR!D9</f>
        <v/>
      </c>
    </row>
    <row r="33">
      <c r="A33" s="26" t="inlineStr">
        <is>
          <t>West</t>
        </is>
      </c>
      <c r="B33" s="4" t="inlineStr">
        <is>
          <t>Section 2</t>
        </is>
      </c>
      <c r="C33" s="9">
        <f>RESOURCE_MGR!C10</f>
        <v/>
      </c>
      <c r="D33" s="9">
        <f>RESOURCE_MGR!D10</f>
        <v/>
      </c>
    </row>
    <row r="34">
      <c r="A34" s="26" t="inlineStr">
        <is>
          <t>West</t>
        </is>
      </c>
      <c r="B34" s="4" t="inlineStr">
        <is>
          <t>Section 3</t>
        </is>
      </c>
      <c r="C34" s="9">
        <f>RESOURCE_MGR!C11</f>
        <v/>
      </c>
      <c r="D34" s="9">
        <f>RESOURCE_MGR!D11</f>
        <v/>
      </c>
    </row>
    <row r="35">
      <c r="A35" s="27" t="inlineStr">
        <is>
          <t>North</t>
        </is>
      </c>
      <c r="B35" s="4" t="inlineStr">
        <is>
          <t>Section 1</t>
        </is>
      </c>
      <c r="C35" s="9">
        <f>RESOURCE_MGR!C12</f>
        <v/>
      </c>
      <c r="D35" s="9">
        <f>RESOURCE_MGR!D12</f>
        <v/>
      </c>
    </row>
    <row r="36">
      <c r="A36" s="27" t="inlineStr">
        <is>
          <t>North</t>
        </is>
      </c>
      <c r="B36" s="4" t="inlineStr">
        <is>
          <t>Section 2</t>
        </is>
      </c>
      <c r="C36" s="9">
        <f>RESOURCE_MGR!C13</f>
        <v/>
      </c>
      <c r="D36" s="9">
        <f>RESOURCE_MGR!D13</f>
        <v/>
      </c>
    </row>
    <row r="37">
      <c r="A37" s="27" t="inlineStr">
        <is>
          <t>North</t>
        </is>
      </c>
      <c r="B37" s="4" t="inlineStr">
        <is>
          <t>Section 3</t>
        </is>
      </c>
      <c r="C37" s="9">
        <f>RESOURCE_MGR!C14</f>
        <v/>
      </c>
      <c r="D37" s="9">
        <f>RESOURCE_MGR!D14</f>
        <v/>
      </c>
    </row>
    <row r="38">
      <c r="A38" s="28" t="inlineStr">
        <is>
          <t>East</t>
        </is>
      </c>
      <c r="B38" s="4" t="inlineStr">
        <is>
          <t>Section 1</t>
        </is>
      </c>
      <c r="C38" s="9">
        <f>RESOURCE_MGR!C15</f>
        <v/>
      </c>
      <c r="D38" s="9">
        <f>RESOURCE_MGR!D15</f>
        <v/>
      </c>
    </row>
    <row r="39">
      <c r="A39" s="28" t="inlineStr">
        <is>
          <t>East</t>
        </is>
      </c>
      <c r="B39" s="4" t="inlineStr">
        <is>
          <t>Section 2</t>
        </is>
      </c>
      <c r="C39" s="9">
        <f>RESOURCE_MGR!C16</f>
        <v/>
      </c>
      <c r="D39" s="9">
        <f>RESOURCE_MGR!D16</f>
        <v/>
      </c>
    </row>
    <row r="40">
      <c r="A40" s="28" t="inlineStr">
        <is>
          <t>East</t>
        </is>
      </c>
      <c r="B40" s="4" t="inlineStr">
        <is>
          <t>Section 3</t>
        </is>
      </c>
      <c r="C40" s="9">
        <f>RESOURCE_MGR!C17</f>
        <v/>
      </c>
      <c r="D40" s="9">
        <f>RESOURCE_MGR!D17</f>
        <v/>
      </c>
    </row>
    <row r="41">
      <c r="A41" s="29" t="inlineStr">
        <is>
          <t>South</t>
        </is>
      </c>
      <c r="B41" s="4" t="inlineStr">
        <is>
          <t>Section 1</t>
        </is>
      </c>
      <c r="C41" s="9">
        <f>RESOURCE_MGR!C18</f>
        <v/>
      </c>
      <c r="D41" s="9">
        <f>RESOURCE_MGR!D18</f>
        <v/>
      </c>
    </row>
    <row r="42">
      <c r="A42" s="29" t="inlineStr">
        <is>
          <t>South</t>
        </is>
      </c>
      <c r="B42" s="4" t="inlineStr">
        <is>
          <t>Section 2</t>
        </is>
      </c>
      <c r="C42" s="9">
        <f>RESOURCE_MGR!C19</f>
        <v/>
      </c>
      <c r="D42" s="9">
        <f>RESOURCE_MGR!D19</f>
        <v/>
      </c>
    </row>
    <row r="43">
      <c r="A43" s="29" t="inlineStr">
        <is>
          <t>South</t>
        </is>
      </c>
      <c r="B43" s="4" t="inlineStr">
        <is>
          <t>Section 3</t>
        </is>
      </c>
      <c r="C43" s="9">
        <f>RESOURCE_MGR!C20</f>
        <v/>
      </c>
      <c r="D43" s="9">
        <f>RESOURCE_MGR!D20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2025-12-29T09:57:27Z</dcterms:created>
  <dcterms:modified xsi:type="dcterms:W3CDTF">2025-12-29T09:57:27Z</dcterms:modified>
</cp:coreProperties>
</file>