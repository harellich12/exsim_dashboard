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iese365-my.sharepoint.com/personal/harel_lichtenstein_iese_net/Documents/Desktop/AI Tests/EXSIM models/Produciton Manager Dashboard/"/>
    </mc:Choice>
  </mc:AlternateContent>
  <xr:revisionPtr revIDLastSave="15" documentId="11_B1A4A99268C2BBAECED71C0418632011AC42C1B3" xr6:coauthVersionLast="47" xr6:coauthVersionMax="47" xr10:uidLastSave="{821F7C5E-741F-4EE0-8EEF-6B200374346C}"/>
  <bookViews>
    <workbookView xWindow="2340" yWindow="2340" windowWidth="26400" windowHeight="18030" xr2:uid="{00000000-000D-0000-FFFF-FFFF00000000}"/>
  </bookViews>
  <sheets>
    <sheet name="ZONE_CALCULATORS" sheetId="1" r:id="rId1"/>
    <sheet name="RESOURCE_MGR" sheetId="2" r:id="rId2"/>
    <sheet name="UPLOAD_READY_PRODUCT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3" i="3" l="1"/>
  <c r="C43" i="3"/>
  <c r="D42" i="3"/>
  <c r="C42" i="3"/>
  <c r="D41" i="3"/>
  <c r="C41" i="3"/>
  <c r="C40" i="3"/>
  <c r="C39" i="3"/>
  <c r="D38" i="3"/>
  <c r="C38" i="3"/>
  <c r="D37" i="3"/>
  <c r="C37" i="3"/>
  <c r="D36" i="3"/>
  <c r="C36" i="3"/>
  <c r="D35" i="3"/>
  <c r="C35" i="3"/>
  <c r="C34" i="3"/>
  <c r="C33" i="3"/>
  <c r="C32" i="3"/>
  <c r="C31" i="3"/>
  <c r="D30" i="3"/>
  <c r="C30" i="3"/>
  <c r="C29" i="3"/>
  <c r="D10" i="3"/>
  <c r="D9" i="3"/>
  <c r="D8" i="3"/>
  <c r="D7" i="3"/>
  <c r="D6" i="3"/>
  <c r="D42" i="2"/>
  <c r="E42" i="2" s="1"/>
  <c r="D41" i="2"/>
  <c r="E41" i="2" s="1"/>
  <c r="E40" i="2"/>
  <c r="D40" i="2"/>
  <c r="D39" i="2"/>
  <c r="E39" i="2" s="1"/>
  <c r="E38" i="2"/>
  <c r="D38" i="2"/>
  <c r="D20" i="2"/>
  <c r="D19" i="2"/>
  <c r="D18" i="2"/>
  <c r="D17" i="2"/>
  <c r="D40" i="3" s="1"/>
  <c r="D16" i="2"/>
  <c r="D39" i="3" s="1"/>
  <c r="D15" i="2"/>
  <c r="D14" i="2"/>
  <c r="D13" i="2"/>
  <c r="D12" i="2"/>
  <c r="D11" i="2"/>
  <c r="D34" i="3" s="1"/>
  <c r="D10" i="2"/>
  <c r="D33" i="3" s="1"/>
  <c r="D9" i="2"/>
  <c r="D32" i="3" s="1"/>
  <c r="D8" i="2"/>
  <c r="D31" i="3" s="1"/>
  <c r="D7" i="2"/>
  <c r="D6" i="2"/>
  <c r="D29" i="3" s="1"/>
  <c r="B159" i="1"/>
  <c r="B31" i="2" s="1"/>
  <c r="H158" i="1"/>
  <c r="G158" i="1"/>
  <c r="F158" i="1"/>
  <c r="I158" i="1" s="1"/>
  <c r="D158" i="1"/>
  <c r="E158" i="1" s="1"/>
  <c r="H157" i="1"/>
  <c r="F157" i="1"/>
  <c r="I157" i="1" s="1"/>
  <c r="E157" i="1"/>
  <c r="D157" i="1"/>
  <c r="H156" i="1"/>
  <c r="G156" i="1"/>
  <c r="F156" i="1"/>
  <c r="I156" i="1" s="1"/>
  <c r="E156" i="1"/>
  <c r="D156" i="1"/>
  <c r="I155" i="1"/>
  <c r="H155" i="1"/>
  <c r="G155" i="1"/>
  <c r="F155" i="1"/>
  <c r="D155" i="1"/>
  <c r="E155" i="1" s="1"/>
  <c r="I154" i="1"/>
  <c r="H154" i="1"/>
  <c r="F154" i="1"/>
  <c r="D154" i="1"/>
  <c r="G154" i="1" s="1"/>
  <c r="I153" i="1"/>
  <c r="H153" i="1"/>
  <c r="F153" i="1"/>
  <c r="D153" i="1"/>
  <c r="G153" i="1" s="1"/>
  <c r="I152" i="1"/>
  <c r="H152" i="1"/>
  <c r="F152" i="1"/>
  <c r="D152" i="1"/>
  <c r="G152" i="1" s="1"/>
  <c r="H151" i="1"/>
  <c r="F151" i="1"/>
  <c r="I151" i="1" s="1"/>
  <c r="E151" i="1"/>
  <c r="D151" i="1"/>
  <c r="B124" i="1"/>
  <c r="B30" i="2" s="1"/>
  <c r="I123" i="1"/>
  <c r="H123" i="1"/>
  <c r="G123" i="1"/>
  <c r="F123" i="1"/>
  <c r="E123" i="1"/>
  <c r="D123" i="1"/>
  <c r="I122" i="1"/>
  <c r="H122" i="1"/>
  <c r="F122" i="1"/>
  <c r="D122" i="1"/>
  <c r="G122" i="1" s="1"/>
  <c r="I121" i="1"/>
  <c r="H121" i="1"/>
  <c r="F121" i="1"/>
  <c r="D121" i="1"/>
  <c r="G121" i="1" s="1"/>
  <c r="I120" i="1"/>
  <c r="H120" i="1"/>
  <c r="F120" i="1"/>
  <c r="D120" i="1"/>
  <c r="G120" i="1" s="1"/>
  <c r="H119" i="1"/>
  <c r="F119" i="1"/>
  <c r="G119" i="1" s="1"/>
  <c r="E119" i="1"/>
  <c r="D119" i="1"/>
  <c r="H118" i="1"/>
  <c r="F118" i="1"/>
  <c r="I118" i="1" s="1"/>
  <c r="E118" i="1"/>
  <c r="D118" i="1"/>
  <c r="H117" i="1"/>
  <c r="F117" i="1"/>
  <c r="I117" i="1" s="1"/>
  <c r="E117" i="1"/>
  <c r="D117" i="1"/>
  <c r="I116" i="1"/>
  <c r="H116" i="1"/>
  <c r="G116" i="1"/>
  <c r="F116" i="1"/>
  <c r="E116" i="1"/>
  <c r="D116" i="1"/>
  <c r="B89" i="1"/>
  <c r="B29" i="2" s="1"/>
  <c r="I88" i="1"/>
  <c r="H88" i="1"/>
  <c r="F88" i="1"/>
  <c r="D88" i="1"/>
  <c r="G88" i="1" s="1"/>
  <c r="H87" i="1"/>
  <c r="F87" i="1"/>
  <c r="G87" i="1" s="1"/>
  <c r="E87" i="1"/>
  <c r="D87" i="1"/>
  <c r="H86" i="1"/>
  <c r="F86" i="1"/>
  <c r="I86" i="1" s="1"/>
  <c r="E86" i="1"/>
  <c r="D86" i="1"/>
  <c r="H85" i="1"/>
  <c r="F85" i="1"/>
  <c r="I85" i="1" s="1"/>
  <c r="E85" i="1"/>
  <c r="D85" i="1"/>
  <c r="I84" i="1"/>
  <c r="H84" i="1"/>
  <c r="G84" i="1"/>
  <c r="F84" i="1"/>
  <c r="E84" i="1"/>
  <c r="D84" i="1"/>
  <c r="I83" i="1"/>
  <c r="H83" i="1"/>
  <c r="G83" i="1"/>
  <c r="F83" i="1"/>
  <c r="E83" i="1"/>
  <c r="D83" i="1"/>
  <c r="I82" i="1"/>
  <c r="H82" i="1"/>
  <c r="F82" i="1"/>
  <c r="D82" i="1"/>
  <c r="G82" i="1" s="1"/>
  <c r="I81" i="1"/>
  <c r="H81" i="1"/>
  <c r="F81" i="1"/>
  <c r="D81" i="1"/>
  <c r="G81" i="1" s="1"/>
  <c r="B54" i="1"/>
  <c r="B28" i="2" s="1"/>
  <c r="H53" i="1"/>
  <c r="F53" i="1"/>
  <c r="I53" i="1" s="1"/>
  <c r="E53" i="1"/>
  <c r="D53" i="1"/>
  <c r="I52" i="1"/>
  <c r="H52" i="1"/>
  <c r="G52" i="1"/>
  <c r="F52" i="1"/>
  <c r="E52" i="1"/>
  <c r="D52" i="1"/>
  <c r="H51" i="1"/>
  <c r="G51" i="1"/>
  <c r="F51" i="1"/>
  <c r="I51" i="1" s="1"/>
  <c r="E51" i="1"/>
  <c r="D51" i="1"/>
  <c r="I50" i="1"/>
  <c r="H50" i="1"/>
  <c r="F50" i="1"/>
  <c r="D50" i="1"/>
  <c r="G50" i="1" s="1"/>
  <c r="I49" i="1"/>
  <c r="H49" i="1"/>
  <c r="F49" i="1"/>
  <c r="D49" i="1"/>
  <c r="G49" i="1" s="1"/>
  <c r="I48" i="1"/>
  <c r="H48" i="1"/>
  <c r="F48" i="1"/>
  <c r="D48" i="1"/>
  <c r="G48" i="1" s="1"/>
  <c r="H47" i="1"/>
  <c r="F47" i="1"/>
  <c r="I47" i="1" s="1"/>
  <c r="E47" i="1"/>
  <c r="D47" i="1"/>
  <c r="H46" i="1"/>
  <c r="F46" i="1"/>
  <c r="I46" i="1" s="1"/>
  <c r="E46" i="1"/>
  <c r="D46" i="1"/>
  <c r="G46" i="1" s="1"/>
  <c r="B19" i="1"/>
  <c r="B27" i="2" s="1"/>
  <c r="I18" i="1"/>
  <c r="H18" i="1"/>
  <c r="F18" i="1"/>
  <c r="D18" i="1"/>
  <c r="E18" i="1" s="1"/>
  <c r="I17" i="1"/>
  <c r="H17" i="1"/>
  <c r="F17" i="1"/>
  <c r="D17" i="1"/>
  <c r="G17" i="1" s="1"/>
  <c r="I16" i="1"/>
  <c r="H16" i="1"/>
  <c r="F16" i="1"/>
  <c r="D16" i="1"/>
  <c r="G16" i="1" s="1"/>
  <c r="H15" i="1"/>
  <c r="F15" i="1"/>
  <c r="I15" i="1" s="1"/>
  <c r="E15" i="1"/>
  <c r="D15" i="1"/>
  <c r="H14" i="1"/>
  <c r="F14" i="1"/>
  <c r="I14" i="1" s="1"/>
  <c r="E14" i="1"/>
  <c r="D14" i="1"/>
  <c r="G14" i="1" s="1"/>
  <c r="H13" i="1"/>
  <c r="F13" i="1"/>
  <c r="I13" i="1" s="1"/>
  <c r="E13" i="1"/>
  <c r="D13" i="1"/>
  <c r="I12" i="1"/>
  <c r="H12" i="1"/>
  <c r="G12" i="1"/>
  <c r="F12" i="1"/>
  <c r="E12" i="1"/>
  <c r="D12" i="1"/>
  <c r="H11" i="1"/>
  <c r="G11" i="1"/>
  <c r="F11" i="1"/>
  <c r="I11" i="1" s="1"/>
  <c r="E11" i="1"/>
  <c r="D11" i="1"/>
  <c r="D27" i="2" l="1"/>
  <c r="E27" i="2" s="1"/>
  <c r="E30" i="2"/>
  <c r="D30" i="2"/>
  <c r="E29" i="2"/>
  <c r="D29" i="2"/>
  <c r="E31" i="2"/>
  <c r="D31" i="2"/>
  <c r="D28" i="2"/>
  <c r="E28" i="2" s="1"/>
  <c r="G89" i="1"/>
  <c r="C8" i="3" s="1"/>
  <c r="G151" i="1"/>
  <c r="G159" i="1" s="1"/>
  <c r="C10" i="3" s="1"/>
  <c r="E154" i="1"/>
  <c r="E48" i="1"/>
  <c r="G53" i="1"/>
  <c r="G54" i="1" s="1"/>
  <c r="C7" i="3" s="1"/>
  <c r="G85" i="1"/>
  <c r="E88" i="1"/>
  <c r="G117" i="1"/>
  <c r="G124" i="1" s="1"/>
  <c r="C9" i="3" s="1"/>
  <c r="E120" i="1"/>
  <c r="E152" i="1"/>
  <c r="G157" i="1"/>
  <c r="G47" i="1"/>
  <c r="E50" i="1"/>
  <c r="E122" i="1"/>
  <c r="G18" i="1"/>
  <c r="I87" i="1"/>
  <c r="I119" i="1"/>
  <c r="G13" i="1"/>
  <c r="E16" i="1"/>
  <c r="G15" i="1"/>
  <c r="E82" i="1"/>
  <c r="E17" i="1"/>
  <c r="E49" i="1"/>
  <c r="E81" i="1"/>
  <c r="G86" i="1"/>
  <c r="G118" i="1"/>
  <c r="E121" i="1"/>
  <c r="E153" i="1"/>
  <c r="G19" i="1" l="1"/>
  <c r="C6" i="3" s="1"/>
</calcChain>
</file>

<file path=xl/sharedStrings.xml><?xml version="1.0" encoding="utf-8"?>
<sst xmlns="http://schemas.openxmlformats.org/spreadsheetml/2006/main" count="307" uniqueCount="68">
  <si>
    <t>ZONE-SPECIFIC PRODUCTION CALCULATORS</t>
  </si>
  <si>
    <t>Each zone has its own resources. Resources in Center do NOT count towards West capacity.</t>
  </si>
  <si>
    <t>═══ CENTER ZONE ═══</t>
  </si>
  <si>
    <t>Machines in Zone</t>
  </si>
  <si>
    <t>Material Stock (Part A)</t>
  </si>
  <si>
    <t>Workers in Zone</t>
  </si>
  <si>
    <t>Nominal Rate/Machine</t>
  </si>
  <si>
    <t>Fortnight</t>
  </si>
  <si>
    <t>Target</t>
  </si>
  <si>
    <t>Overtime</t>
  </si>
  <si>
    <t>Local Capacity</t>
  </si>
  <si>
    <t>Max OT Pot.</t>
  </si>
  <si>
    <t>Material Cap</t>
  </si>
  <si>
    <t>REAL OUTPUT</t>
  </si>
  <si>
    <t>Est. Unit Cost</t>
  </si>
  <si>
    <t>Shipment?</t>
  </si>
  <si>
    <t>FN1</t>
  </si>
  <si>
    <t>N</t>
  </si>
  <si>
    <t>FN2</t>
  </si>
  <si>
    <t>FN3</t>
  </si>
  <si>
    <t>FN4</t>
  </si>
  <si>
    <t>FN5</t>
  </si>
  <si>
    <t>FN6</t>
  </si>
  <si>
    <t>FN7</t>
  </si>
  <si>
    <t>FN8</t>
  </si>
  <si>
    <t>TOTAL</t>
  </si>
  <si>
    <t>═══ WEST ZONE ═══</t>
  </si>
  <si>
    <t>═══ NORTH ZONE ═══</t>
  </si>
  <si>
    <t>═══ EAST ZONE ═══</t>
  </si>
  <si>
    <t>═══ SOUTH ZONE ═══</t>
  </si>
  <si>
    <t>RESOURCE MANAGER - Zone-by-Zone Asset Allocation</t>
  </si>
  <si>
    <t>SECTION A: MACHINE ASSIGNMENTS BY ZONE</t>
  </si>
  <si>
    <t>Zone</t>
  </si>
  <si>
    <t>Section</t>
  </si>
  <si>
    <t>Machines Assigned</t>
  </si>
  <si>
    <t>Workers Needed</t>
  </si>
  <si>
    <t>Status</t>
  </si>
  <si>
    <t>Center</t>
  </si>
  <si>
    <t>Section 1</t>
  </si>
  <si>
    <t>OK</t>
  </si>
  <si>
    <t>Section 2</t>
  </si>
  <si>
    <t>Section 3</t>
  </si>
  <si>
    <t>West</t>
  </si>
  <si>
    <t>North</t>
  </si>
  <si>
    <t>East</t>
  </si>
  <si>
    <t>South</t>
  </si>
  <si>
    <t>SECTION B: EXPANSION RECOMMENDATIONS BY ZONE</t>
  </si>
  <si>
    <t>Target Capacity</t>
  </si>
  <si>
    <t>Current Machines</t>
  </si>
  <si>
    <t>Capacity Gap</t>
  </si>
  <si>
    <t>Recommendation</t>
  </si>
  <si>
    <t>SECTION C: REAL ESTATE (MODULES) BY ZONE</t>
  </si>
  <si>
    <t>Machines</t>
  </si>
  <si>
    <t>Module Slots</t>
  </si>
  <si>
    <t>Free Slots</t>
  </si>
  <si>
    <t>PRODUCTION DECISIONS - ExSim Upload (Zone-Mapped)</t>
  </si>
  <si>
    <t>Values linked from Zone Calculators</t>
  </si>
  <si>
    <t>Production Targets</t>
  </si>
  <si>
    <t>Product</t>
  </si>
  <si>
    <t>A</t>
  </si>
  <si>
    <t>Machine Purchases</t>
  </si>
  <si>
    <t>Machine Type</t>
  </si>
  <si>
    <t>Quantity</t>
  </si>
  <si>
    <t>M1</t>
  </si>
  <si>
    <t>M2</t>
  </si>
  <si>
    <t>Section Assignments</t>
  </si>
  <si>
    <t>Workers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</si>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</sst>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8" x14ac:knownFonts="1">
    <font>
      <sz val="11"/>
      <color theme="1"/>
      <name val="Calibri"/>
      <family val="2"/>
      <scheme val="minor"/>
    </font>
    <font>
      <b/>
      <sz val="14"/>
      <color rgb="FF2F5496"/>
      <name val="Calibri"/>
    </font>
    <font>
      <i/>
      <sz val="11"/>
      <color rgb="FF666666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b/>
      <sz val="12"/>
      <color rgb="FF2F5496"/>
      <name val="Calibri"/>
    </font>
    <font>
      <sz val="11"/>
      <color rgb="FFFFFFFF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ED7D31"/>
        <bgColor rgb="FFED7D31"/>
      </patternFill>
    </fill>
    <fill>
      <patternFill patternType="solid">
        <fgColor rgb="FF70AD47"/>
        <bgColor rgb="FF70AD47"/>
      </patternFill>
    </fill>
    <fill>
      <patternFill patternType="solid">
        <fgColor rgb="FFFFC000"/>
        <bgColor rgb="FFFFC000"/>
      </patternFill>
    </fill>
    <fill>
      <patternFill patternType="solid">
        <fgColor rgb="FF9E480E"/>
        <bgColor rgb="FF9E480E"/>
      </patternFill>
    </fill>
    <fill>
      <patternFill patternType="solid">
        <fgColor rgb="FF2F5496"/>
        <bgColor rgb="FF2F549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3" borderId="1" xfId="0" applyFill="1" applyBorder="1"/>
    <xf numFmtId="0" fontId="4" fillId="2" borderId="1" xfId="0" applyFont="1" applyFill="1" applyBorder="1" applyAlignment="1">
      <alignment horizontal="center" wrapText="1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5" borderId="1" xfId="0" applyFill="1" applyBorder="1"/>
    <xf numFmtId="0" fontId="2" fillId="0" borderId="1" xfId="0" applyFont="1" applyBorder="1"/>
    <xf numFmtId="0" fontId="5" fillId="6" borderId="1" xfId="0" applyFont="1" applyFill="1" applyBorder="1"/>
    <xf numFmtId="164" fontId="0" fillId="0" borderId="1" xfId="0" applyNumberFormat="1" applyBorder="1"/>
    <xf numFmtId="0" fontId="5" fillId="0" borderId="0" xfId="0" applyFont="1"/>
    <xf numFmtId="0" fontId="0" fillId="4" borderId="0" xfId="0" applyFill="1"/>
    <xf numFmtId="0" fontId="5" fillId="6" borderId="0" xfId="0" applyFont="1" applyFill="1"/>
    <xf numFmtId="0" fontId="4" fillId="7" borderId="1" xfId="0" applyFont="1" applyFill="1" applyBorder="1" applyAlignment="1">
      <alignment horizontal="center" wrapText="1"/>
    </xf>
    <xf numFmtId="0" fontId="4" fillId="8" borderId="1" xfId="0" applyFont="1" applyFill="1" applyBorder="1" applyAlignment="1">
      <alignment horizontal="center" wrapText="1"/>
    </xf>
    <xf numFmtId="0" fontId="4" fillId="9" borderId="1" xfId="0" applyFont="1" applyFill="1" applyBorder="1" applyAlignment="1">
      <alignment horizontal="center" wrapText="1"/>
    </xf>
    <xf numFmtId="0" fontId="4" fillId="10" borderId="1" xfId="0" applyFont="1" applyFill="1" applyBorder="1" applyAlignment="1">
      <alignment horizontal="center" wrapText="1"/>
    </xf>
    <xf numFmtId="0" fontId="6" fillId="0" borderId="0" xfId="0" applyFont="1"/>
    <xf numFmtId="0" fontId="4" fillId="11" borderId="1" xfId="0" applyFont="1" applyFill="1" applyBorder="1"/>
    <xf numFmtId="0" fontId="7" fillId="2" borderId="1" xfId="0" applyFont="1" applyFill="1" applyBorder="1"/>
    <xf numFmtId="0" fontId="0" fillId="6" borderId="1" xfId="0" applyFill="1" applyBorder="1"/>
    <xf numFmtId="0" fontId="7" fillId="7" borderId="1" xfId="0" applyFont="1" applyFill="1" applyBorder="1"/>
    <xf numFmtId="0" fontId="7" fillId="8" borderId="1" xfId="0" applyFont="1" applyFill="1" applyBorder="1"/>
    <xf numFmtId="0" fontId="7" fillId="9" borderId="1" xfId="0" applyFont="1" applyFill="1" applyBorder="1"/>
    <xf numFmtId="0" fontId="7" fillId="10" borderId="1" xfId="0" applyFont="1" applyFill="1" applyBorder="1"/>
    <xf numFmtId="0" fontId="3" fillId="8" borderId="0" xfId="0" applyFont="1" applyFill="1" applyAlignment="1">
      <alignment horizontal="center"/>
    </xf>
    <xf numFmtId="0" fontId="0" fillId="0" borderId="0" xfId="0"/>
    <xf numFmtId="0" fontId="3" fillId="10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9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</cellXfs>
  <cellStyles count="1">
    <cellStyle name="Normal" xfId="0" builtinId="0"/>
  </cellStyles>
  <dxfs count="10"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Center Capacity Constraints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v>Nominal Cap</c:v>
          </c:tx>
          <c:spPr>
            <a:solidFill>
              <a:srgbClr val="70AD47"/>
            </a:solidFill>
            <a:ln>
              <a:prstDash val="solid"/>
            </a:ln>
          </c:spPr>
          <c:invertIfNegative val="1"/>
          <c:cat>
            <c:strRef>
              <c:f>ZONE_CALCULATORS!$A$11:$A$18</c:f>
              <c:strCache>
                <c:ptCount val="8"/>
                <c:pt idx="0">
                  <c:v>FN1</c:v>
                </c:pt>
                <c:pt idx="1">
                  <c:v>FN2</c:v>
                </c:pt>
                <c:pt idx="2">
                  <c:v>FN3</c:v>
                </c:pt>
                <c:pt idx="3">
                  <c:v>FN4</c:v>
                </c:pt>
                <c:pt idx="4">
                  <c:v>FN5</c:v>
                </c:pt>
                <c:pt idx="5">
                  <c:v>FN6</c:v>
                </c:pt>
                <c:pt idx="6">
                  <c:v>FN7</c:v>
                </c:pt>
                <c:pt idx="7">
                  <c:v>FN8</c:v>
                </c:pt>
              </c:strCache>
            </c:strRef>
          </c:cat>
          <c:val>
            <c:numRef>
              <c:f>ZONE_CALCULATORS!$D$11:$D$18</c:f>
              <c:numCache>
                <c:formatCode>General</c:formatCode>
                <c:ptCount val="8"/>
                <c:pt idx="0">
                  <c:v>31200</c:v>
                </c:pt>
                <c:pt idx="1">
                  <c:v>31200</c:v>
                </c:pt>
                <c:pt idx="2">
                  <c:v>31200</c:v>
                </c:pt>
                <c:pt idx="3">
                  <c:v>31200</c:v>
                </c:pt>
                <c:pt idx="4">
                  <c:v>31200</c:v>
                </c:pt>
                <c:pt idx="5">
                  <c:v>31200</c:v>
                </c:pt>
                <c:pt idx="6">
                  <c:v>31200</c:v>
                </c:pt>
                <c:pt idx="7">
                  <c:v>31200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B7F-4664-864B-2F9BBC4041A3}"/>
            </c:ext>
          </c:extLst>
        </c:ser>
        <c:ser>
          <c:idx val="1"/>
          <c:order val="1"/>
          <c:tx>
            <c:v>OT Potential</c:v>
          </c:tx>
          <c:spPr>
            <a:solidFill>
              <a:srgbClr val="ED7D31"/>
            </a:solidFill>
            <a:ln>
              <a:prstDash val="solid"/>
            </a:ln>
          </c:spPr>
          <c:invertIfNegative val="1"/>
          <c:cat>
            <c:strRef>
              <c:f>ZONE_CALCULATORS!$A$11:$A$18</c:f>
              <c:strCache>
                <c:ptCount val="8"/>
                <c:pt idx="0">
                  <c:v>FN1</c:v>
                </c:pt>
                <c:pt idx="1">
                  <c:v>FN2</c:v>
                </c:pt>
                <c:pt idx="2">
                  <c:v>FN3</c:v>
                </c:pt>
                <c:pt idx="3">
                  <c:v>FN4</c:v>
                </c:pt>
                <c:pt idx="4">
                  <c:v>FN5</c:v>
                </c:pt>
                <c:pt idx="5">
                  <c:v>FN6</c:v>
                </c:pt>
                <c:pt idx="6">
                  <c:v>FN7</c:v>
                </c:pt>
                <c:pt idx="7">
                  <c:v>FN8</c:v>
                </c:pt>
              </c:strCache>
            </c:strRef>
          </c:cat>
          <c:val>
            <c:numRef>
              <c:f>ZONE_CALCULATORS!$E$11:$E$18</c:f>
              <c:numCache>
                <c:formatCode>General</c:formatCode>
                <c:ptCount val="8"/>
                <c:pt idx="0">
                  <c:v>6240</c:v>
                </c:pt>
                <c:pt idx="1">
                  <c:v>6240</c:v>
                </c:pt>
                <c:pt idx="2">
                  <c:v>6240</c:v>
                </c:pt>
                <c:pt idx="3">
                  <c:v>6240</c:v>
                </c:pt>
                <c:pt idx="4">
                  <c:v>6240</c:v>
                </c:pt>
                <c:pt idx="5">
                  <c:v>6240</c:v>
                </c:pt>
                <c:pt idx="6">
                  <c:v>6240</c:v>
                </c:pt>
                <c:pt idx="7">
                  <c:v>6240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B7F-4664-864B-2F9BBC4041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lineChart>
        <c:grouping val="standard"/>
        <c:varyColors val="1"/>
        <c:ser>
          <c:idx val="2"/>
          <c:order val="2"/>
          <c:tx>
            <c:v>Target Demand</c:v>
          </c:tx>
          <c:spPr>
            <a:ln w="30000">
              <a:solidFill>
                <a:srgbClr val="FF0000"/>
              </a:solidFill>
              <a:prstDash val="solid"/>
            </a:ln>
          </c:spPr>
          <c:marker>
            <c:symbol val="none"/>
          </c:marker>
          <c:val>
            <c:numRef>
              <c:f>ZONE_CALCULATORS!$B$11:$B$18</c:f>
              <c:numCache>
                <c:formatCode>General</c:formatCode>
                <c:ptCount val="8"/>
                <c:pt idx="0">
                  <c:v>6000</c:v>
                </c:pt>
                <c:pt idx="1">
                  <c:v>15556</c:v>
                </c:pt>
                <c:pt idx="2">
                  <c:v>500</c:v>
                </c:pt>
                <c:pt idx="3">
                  <c:v>500</c:v>
                </c:pt>
                <c:pt idx="4">
                  <c:v>500</c:v>
                </c:pt>
                <c:pt idx="5">
                  <c:v>1222</c:v>
                </c:pt>
                <c:pt idx="6">
                  <c:v>500</c:v>
                </c:pt>
                <c:pt idx="7">
                  <c:v>500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B7F-4664-864B-2F9BBC4041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Fortnight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Units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Center Unit Cost Analysis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Est. Unit Cost</c:v>
          </c:tx>
          <c:spPr>
            <a:ln>
              <a:solidFill>
                <a:srgbClr val="2F5496"/>
              </a:solidFill>
              <a:prstDash val="solid"/>
            </a:ln>
          </c:spPr>
          <c:marker>
            <c:symbol val="none"/>
          </c:marker>
          <c:cat>
            <c:strRef>
              <c:f>ZONE_CALCULATORS!$A$11:$A$18</c:f>
              <c:strCache>
                <c:ptCount val="8"/>
                <c:pt idx="0">
                  <c:v>FN1</c:v>
                </c:pt>
                <c:pt idx="1">
                  <c:v>FN2</c:v>
                </c:pt>
                <c:pt idx="2">
                  <c:v>FN3</c:v>
                </c:pt>
                <c:pt idx="3">
                  <c:v>FN4</c:v>
                </c:pt>
                <c:pt idx="4">
                  <c:v>FN5</c:v>
                </c:pt>
                <c:pt idx="5">
                  <c:v>FN6</c:v>
                </c:pt>
                <c:pt idx="6">
                  <c:v>FN7</c:v>
                </c:pt>
                <c:pt idx="7">
                  <c:v>FN8</c:v>
                </c:pt>
              </c:strCache>
            </c:strRef>
          </c:cat>
          <c:val>
            <c:numRef>
              <c:f>ZONE_CALCULATORS!$H$11:$H$18</c:f>
              <c:numCache>
                <c:formatCode>\$#,##0</c:formatCode>
                <c:ptCount val="8"/>
                <c:pt idx="0">
                  <c:v>40</c:v>
                </c:pt>
                <c:pt idx="1">
                  <c:v>60</c:v>
                </c:pt>
                <c:pt idx="2">
                  <c:v>40</c:v>
                </c:pt>
                <c:pt idx="3">
                  <c:v>40</c:v>
                </c:pt>
                <c:pt idx="4">
                  <c:v>60</c:v>
                </c:pt>
                <c:pt idx="5">
                  <c:v>40</c:v>
                </c:pt>
                <c:pt idx="6">
                  <c:v>40</c:v>
                </c:pt>
                <c:pt idx="7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A03-4A13-B6AB-8545A0314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Unit Cost ($)</a:t>
                </a:r>
              </a:p>
            </c:rich>
          </c:tx>
          <c:overlay val="1"/>
        </c:title>
        <c:numFmt formatCode="\$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West Capacity Constraints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v>Nominal Cap</c:v>
          </c:tx>
          <c:spPr>
            <a:solidFill>
              <a:srgbClr val="70AD47"/>
            </a:solidFill>
            <a:ln>
              <a:prstDash val="solid"/>
            </a:ln>
          </c:spPr>
          <c:invertIfNegative val="1"/>
          <c:cat>
            <c:strRef>
              <c:f>ZONE_CALCULATORS!$A$46:$A$53</c:f>
              <c:strCache>
                <c:ptCount val="8"/>
                <c:pt idx="0">
                  <c:v>FN1</c:v>
                </c:pt>
                <c:pt idx="1">
                  <c:v>FN2</c:v>
                </c:pt>
                <c:pt idx="2">
                  <c:v>FN3</c:v>
                </c:pt>
                <c:pt idx="3">
                  <c:v>FN4</c:v>
                </c:pt>
                <c:pt idx="4">
                  <c:v>FN5</c:v>
                </c:pt>
                <c:pt idx="5">
                  <c:v>FN6</c:v>
                </c:pt>
                <c:pt idx="6">
                  <c:v>FN7</c:v>
                </c:pt>
                <c:pt idx="7">
                  <c:v>FN8</c:v>
                </c:pt>
              </c:strCache>
            </c:strRef>
          </c:cat>
          <c:val>
            <c:numRef>
              <c:f>ZONE_CALCULATORS!$D$46:$D$53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B45-4B5A-932E-54134105DDD4}"/>
            </c:ext>
          </c:extLst>
        </c:ser>
        <c:ser>
          <c:idx val="1"/>
          <c:order val="1"/>
          <c:tx>
            <c:v>OT Potential</c:v>
          </c:tx>
          <c:spPr>
            <a:solidFill>
              <a:srgbClr val="ED7D31"/>
            </a:solidFill>
            <a:ln>
              <a:prstDash val="solid"/>
            </a:ln>
          </c:spPr>
          <c:invertIfNegative val="1"/>
          <c:cat>
            <c:strRef>
              <c:f>ZONE_CALCULATORS!$A$46:$A$53</c:f>
              <c:strCache>
                <c:ptCount val="8"/>
                <c:pt idx="0">
                  <c:v>FN1</c:v>
                </c:pt>
                <c:pt idx="1">
                  <c:v>FN2</c:v>
                </c:pt>
                <c:pt idx="2">
                  <c:v>FN3</c:v>
                </c:pt>
                <c:pt idx="3">
                  <c:v>FN4</c:v>
                </c:pt>
                <c:pt idx="4">
                  <c:v>FN5</c:v>
                </c:pt>
                <c:pt idx="5">
                  <c:v>FN6</c:v>
                </c:pt>
                <c:pt idx="6">
                  <c:v>FN7</c:v>
                </c:pt>
                <c:pt idx="7">
                  <c:v>FN8</c:v>
                </c:pt>
              </c:strCache>
            </c:strRef>
          </c:cat>
          <c:val>
            <c:numRef>
              <c:f>ZONE_CALCULATORS!$E$46:$E$53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B45-4B5A-932E-54134105DD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lineChart>
        <c:grouping val="standard"/>
        <c:varyColors val="1"/>
        <c:ser>
          <c:idx val="2"/>
          <c:order val="2"/>
          <c:tx>
            <c:v>Target Demand</c:v>
          </c:tx>
          <c:spPr>
            <a:ln w="30000">
              <a:solidFill>
                <a:srgbClr val="FF0000"/>
              </a:solidFill>
              <a:prstDash val="solid"/>
            </a:ln>
          </c:spPr>
          <c:marker>
            <c:symbol val="none"/>
          </c:marker>
          <c:val>
            <c:numRef>
              <c:f>ZONE_CALCULATORS!$B$46:$B$53</c:f>
              <c:numCache>
                <c:formatCode>General</c:formatCode>
                <c:ptCount val="8"/>
                <c:pt idx="0">
                  <c:v>1244</c:v>
                </c:pt>
                <c:pt idx="1">
                  <c:v>3533</c:v>
                </c:pt>
                <c:pt idx="2">
                  <c:v>0</c:v>
                </c:pt>
                <c:pt idx="3">
                  <c:v>0</c:v>
                </c:pt>
                <c:pt idx="4">
                  <c:v>1225</c:v>
                </c:pt>
                <c:pt idx="5">
                  <c:v>126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B45-4B5A-932E-54134105DD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Fortnight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Units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West Unit Cost Analysis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Est. Unit Cost</c:v>
          </c:tx>
          <c:spPr>
            <a:ln>
              <a:solidFill>
                <a:srgbClr val="2F5496"/>
              </a:solidFill>
              <a:prstDash val="solid"/>
            </a:ln>
          </c:spPr>
          <c:marker>
            <c:symbol val="none"/>
          </c:marker>
          <c:cat>
            <c:strRef>
              <c:f>ZONE_CALCULATORS!$A$46:$A$53</c:f>
              <c:strCache>
                <c:ptCount val="8"/>
                <c:pt idx="0">
                  <c:v>FN1</c:v>
                </c:pt>
                <c:pt idx="1">
                  <c:v>FN2</c:v>
                </c:pt>
                <c:pt idx="2">
                  <c:v>FN3</c:v>
                </c:pt>
                <c:pt idx="3">
                  <c:v>FN4</c:v>
                </c:pt>
                <c:pt idx="4">
                  <c:v>FN5</c:v>
                </c:pt>
                <c:pt idx="5">
                  <c:v>FN6</c:v>
                </c:pt>
                <c:pt idx="6">
                  <c:v>FN7</c:v>
                </c:pt>
                <c:pt idx="7">
                  <c:v>FN8</c:v>
                </c:pt>
              </c:strCache>
            </c:strRef>
          </c:cat>
          <c:val>
            <c:numRef>
              <c:f>ZONE_CALCULATORS!$H$46:$H$53</c:f>
              <c:numCache>
                <c:formatCode>\$#,##0</c:formatCode>
                <c:ptCount val="8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40</c:v>
                </c:pt>
                <c:pt idx="4">
                  <c:v>40</c:v>
                </c:pt>
                <c:pt idx="5">
                  <c:v>60</c:v>
                </c:pt>
                <c:pt idx="6">
                  <c:v>40</c:v>
                </c:pt>
                <c:pt idx="7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9FE-4C9B-B6A0-81E1594F3D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Unit Cost ($)</a:t>
                </a:r>
              </a:p>
            </c:rich>
          </c:tx>
          <c:overlay val="1"/>
        </c:title>
        <c:numFmt formatCode="\$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North Capacity Constraints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v>Nominal Cap</c:v>
          </c:tx>
          <c:spPr>
            <a:solidFill>
              <a:srgbClr val="70AD47"/>
            </a:solidFill>
            <a:ln>
              <a:prstDash val="solid"/>
            </a:ln>
          </c:spPr>
          <c:invertIfNegative val="1"/>
          <c:cat>
            <c:strRef>
              <c:f>ZONE_CALCULATORS!$A$81:$A$88</c:f>
              <c:strCache>
                <c:ptCount val="8"/>
                <c:pt idx="0">
                  <c:v>FN1</c:v>
                </c:pt>
                <c:pt idx="1">
                  <c:v>FN2</c:v>
                </c:pt>
                <c:pt idx="2">
                  <c:v>FN3</c:v>
                </c:pt>
                <c:pt idx="3">
                  <c:v>FN4</c:v>
                </c:pt>
                <c:pt idx="4">
                  <c:v>FN5</c:v>
                </c:pt>
                <c:pt idx="5">
                  <c:v>FN6</c:v>
                </c:pt>
                <c:pt idx="6">
                  <c:v>FN7</c:v>
                </c:pt>
                <c:pt idx="7">
                  <c:v>FN8</c:v>
                </c:pt>
              </c:strCache>
            </c:strRef>
          </c:cat>
          <c:val>
            <c:numRef>
              <c:f>ZONE_CALCULATORS!$D$81:$D$88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943-40BE-BD3C-3F2B3F2E54D2}"/>
            </c:ext>
          </c:extLst>
        </c:ser>
        <c:ser>
          <c:idx val="1"/>
          <c:order val="1"/>
          <c:tx>
            <c:v>OT Potential</c:v>
          </c:tx>
          <c:spPr>
            <a:solidFill>
              <a:srgbClr val="ED7D31"/>
            </a:solidFill>
            <a:ln>
              <a:prstDash val="solid"/>
            </a:ln>
          </c:spPr>
          <c:invertIfNegative val="1"/>
          <c:cat>
            <c:strRef>
              <c:f>ZONE_CALCULATORS!$A$81:$A$88</c:f>
              <c:strCache>
                <c:ptCount val="8"/>
                <c:pt idx="0">
                  <c:v>FN1</c:v>
                </c:pt>
                <c:pt idx="1">
                  <c:v>FN2</c:v>
                </c:pt>
                <c:pt idx="2">
                  <c:v>FN3</c:v>
                </c:pt>
                <c:pt idx="3">
                  <c:v>FN4</c:v>
                </c:pt>
                <c:pt idx="4">
                  <c:v>FN5</c:v>
                </c:pt>
                <c:pt idx="5">
                  <c:v>FN6</c:v>
                </c:pt>
                <c:pt idx="6">
                  <c:v>FN7</c:v>
                </c:pt>
                <c:pt idx="7">
                  <c:v>FN8</c:v>
                </c:pt>
              </c:strCache>
            </c:strRef>
          </c:cat>
          <c:val>
            <c:numRef>
              <c:f>ZONE_CALCULATORS!$E$81:$E$88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943-40BE-BD3C-3F2B3F2E54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lineChart>
        <c:grouping val="standard"/>
        <c:varyColors val="1"/>
        <c:ser>
          <c:idx val="2"/>
          <c:order val="2"/>
          <c:tx>
            <c:v>Target Demand</c:v>
          </c:tx>
          <c:spPr>
            <a:ln w="30000">
              <a:solidFill>
                <a:srgbClr val="FF0000"/>
              </a:solidFill>
              <a:prstDash val="solid"/>
            </a:ln>
          </c:spPr>
          <c:marker>
            <c:symbol val="none"/>
          </c:marker>
          <c:val>
            <c:numRef>
              <c:f>ZONE_CALCULATORS!$B$81:$B$88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943-40BE-BD3C-3F2B3F2E54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Fortnight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Units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North Unit Cost Analysis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Est. Unit Cost</c:v>
          </c:tx>
          <c:spPr>
            <a:ln>
              <a:solidFill>
                <a:srgbClr val="2F5496"/>
              </a:solidFill>
              <a:prstDash val="solid"/>
            </a:ln>
          </c:spPr>
          <c:marker>
            <c:symbol val="none"/>
          </c:marker>
          <c:cat>
            <c:strRef>
              <c:f>ZONE_CALCULATORS!$A$81:$A$88</c:f>
              <c:strCache>
                <c:ptCount val="8"/>
                <c:pt idx="0">
                  <c:v>FN1</c:v>
                </c:pt>
                <c:pt idx="1">
                  <c:v>FN2</c:v>
                </c:pt>
                <c:pt idx="2">
                  <c:v>FN3</c:v>
                </c:pt>
                <c:pt idx="3">
                  <c:v>FN4</c:v>
                </c:pt>
                <c:pt idx="4">
                  <c:v>FN5</c:v>
                </c:pt>
                <c:pt idx="5">
                  <c:v>FN6</c:v>
                </c:pt>
                <c:pt idx="6">
                  <c:v>FN7</c:v>
                </c:pt>
                <c:pt idx="7">
                  <c:v>FN8</c:v>
                </c:pt>
              </c:strCache>
            </c:strRef>
          </c:cat>
          <c:val>
            <c:numRef>
              <c:f>ZONE_CALCULATORS!$H$81:$H$88</c:f>
              <c:numCache>
                <c:formatCode>\$#,##0</c:formatCode>
                <c:ptCount val="8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40</c:v>
                </c:pt>
                <c:pt idx="4">
                  <c:v>40</c:v>
                </c:pt>
                <c:pt idx="5">
                  <c:v>40</c:v>
                </c:pt>
                <c:pt idx="6">
                  <c:v>40</c:v>
                </c:pt>
                <c:pt idx="7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2EF-45F2-89F3-2A0EEAA126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Unit Cost ($)</a:t>
                </a:r>
              </a:p>
            </c:rich>
          </c:tx>
          <c:overlay val="1"/>
        </c:title>
        <c:numFmt formatCode="\$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East Capacity Constraints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v>Nominal Cap</c:v>
          </c:tx>
          <c:spPr>
            <a:solidFill>
              <a:srgbClr val="70AD47"/>
            </a:solidFill>
            <a:ln>
              <a:prstDash val="solid"/>
            </a:ln>
          </c:spPr>
          <c:invertIfNegative val="1"/>
          <c:cat>
            <c:strRef>
              <c:f>ZONE_CALCULATORS!$A$116:$A$123</c:f>
              <c:strCache>
                <c:ptCount val="8"/>
                <c:pt idx="0">
                  <c:v>FN1</c:v>
                </c:pt>
                <c:pt idx="1">
                  <c:v>FN2</c:v>
                </c:pt>
                <c:pt idx="2">
                  <c:v>FN3</c:v>
                </c:pt>
                <c:pt idx="3">
                  <c:v>FN4</c:v>
                </c:pt>
                <c:pt idx="4">
                  <c:v>FN5</c:v>
                </c:pt>
                <c:pt idx="5">
                  <c:v>FN6</c:v>
                </c:pt>
                <c:pt idx="6">
                  <c:v>FN7</c:v>
                </c:pt>
                <c:pt idx="7">
                  <c:v>FN8</c:v>
                </c:pt>
              </c:strCache>
            </c:strRef>
          </c:cat>
          <c:val>
            <c:numRef>
              <c:f>ZONE_CALCULATORS!$D$116:$D$123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9E9-4E85-9FE8-AD7E61D42E66}"/>
            </c:ext>
          </c:extLst>
        </c:ser>
        <c:ser>
          <c:idx val="1"/>
          <c:order val="1"/>
          <c:tx>
            <c:v>OT Potential</c:v>
          </c:tx>
          <c:spPr>
            <a:solidFill>
              <a:srgbClr val="ED7D31"/>
            </a:solidFill>
            <a:ln>
              <a:prstDash val="solid"/>
            </a:ln>
          </c:spPr>
          <c:invertIfNegative val="1"/>
          <c:cat>
            <c:strRef>
              <c:f>ZONE_CALCULATORS!$A$116:$A$123</c:f>
              <c:strCache>
                <c:ptCount val="8"/>
                <c:pt idx="0">
                  <c:v>FN1</c:v>
                </c:pt>
                <c:pt idx="1">
                  <c:v>FN2</c:v>
                </c:pt>
                <c:pt idx="2">
                  <c:v>FN3</c:v>
                </c:pt>
                <c:pt idx="3">
                  <c:v>FN4</c:v>
                </c:pt>
                <c:pt idx="4">
                  <c:v>FN5</c:v>
                </c:pt>
                <c:pt idx="5">
                  <c:v>FN6</c:v>
                </c:pt>
                <c:pt idx="6">
                  <c:v>FN7</c:v>
                </c:pt>
                <c:pt idx="7">
                  <c:v>FN8</c:v>
                </c:pt>
              </c:strCache>
            </c:strRef>
          </c:cat>
          <c:val>
            <c:numRef>
              <c:f>ZONE_CALCULATORS!$E$116:$E$123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9E9-4E85-9FE8-AD7E61D42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lineChart>
        <c:grouping val="standard"/>
        <c:varyColors val="1"/>
        <c:ser>
          <c:idx val="2"/>
          <c:order val="2"/>
          <c:tx>
            <c:v>Target Demand</c:v>
          </c:tx>
          <c:spPr>
            <a:ln w="30000">
              <a:solidFill>
                <a:srgbClr val="FF0000"/>
              </a:solidFill>
              <a:prstDash val="solid"/>
            </a:ln>
          </c:spPr>
          <c:marker>
            <c:symbol val="none"/>
          </c:marker>
          <c:val>
            <c:numRef>
              <c:f>ZONE_CALCULATORS!$B$116:$B$123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9E9-4E85-9FE8-AD7E61D42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Fortnight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Units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East Unit Cost Analysis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Est. Unit Cost</c:v>
          </c:tx>
          <c:spPr>
            <a:ln>
              <a:solidFill>
                <a:srgbClr val="2F5496"/>
              </a:solidFill>
              <a:prstDash val="solid"/>
            </a:ln>
          </c:spPr>
          <c:marker>
            <c:symbol val="none"/>
          </c:marker>
          <c:cat>
            <c:strRef>
              <c:f>ZONE_CALCULATORS!$A$116:$A$123</c:f>
              <c:strCache>
                <c:ptCount val="8"/>
                <c:pt idx="0">
                  <c:v>FN1</c:v>
                </c:pt>
                <c:pt idx="1">
                  <c:v>FN2</c:v>
                </c:pt>
                <c:pt idx="2">
                  <c:v>FN3</c:v>
                </c:pt>
                <c:pt idx="3">
                  <c:v>FN4</c:v>
                </c:pt>
                <c:pt idx="4">
                  <c:v>FN5</c:v>
                </c:pt>
                <c:pt idx="5">
                  <c:v>FN6</c:v>
                </c:pt>
                <c:pt idx="6">
                  <c:v>FN7</c:v>
                </c:pt>
                <c:pt idx="7">
                  <c:v>FN8</c:v>
                </c:pt>
              </c:strCache>
            </c:strRef>
          </c:cat>
          <c:val>
            <c:numRef>
              <c:f>ZONE_CALCULATORS!$H$116:$H$123</c:f>
              <c:numCache>
                <c:formatCode>\$#,##0</c:formatCode>
                <c:ptCount val="8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40</c:v>
                </c:pt>
                <c:pt idx="4">
                  <c:v>40</c:v>
                </c:pt>
                <c:pt idx="5">
                  <c:v>40</c:v>
                </c:pt>
                <c:pt idx="6">
                  <c:v>40</c:v>
                </c:pt>
                <c:pt idx="7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D1-442D-A051-81F1913A5A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Unit Cost ($)</a:t>
                </a:r>
              </a:p>
            </c:rich>
          </c:tx>
          <c:overlay val="1"/>
        </c:title>
        <c:numFmt formatCode="\$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South Capacity Constraints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v>Nominal Cap</c:v>
          </c:tx>
          <c:spPr>
            <a:solidFill>
              <a:srgbClr val="70AD47"/>
            </a:solidFill>
            <a:ln>
              <a:prstDash val="solid"/>
            </a:ln>
          </c:spPr>
          <c:invertIfNegative val="1"/>
          <c:cat>
            <c:strRef>
              <c:f>ZONE_CALCULATORS!$A$151:$A$158</c:f>
              <c:strCache>
                <c:ptCount val="8"/>
                <c:pt idx="0">
                  <c:v>FN1</c:v>
                </c:pt>
                <c:pt idx="1">
                  <c:v>FN2</c:v>
                </c:pt>
                <c:pt idx="2">
                  <c:v>FN3</c:v>
                </c:pt>
                <c:pt idx="3">
                  <c:v>FN4</c:v>
                </c:pt>
                <c:pt idx="4">
                  <c:v>FN5</c:v>
                </c:pt>
                <c:pt idx="5">
                  <c:v>FN6</c:v>
                </c:pt>
                <c:pt idx="6">
                  <c:v>FN7</c:v>
                </c:pt>
                <c:pt idx="7">
                  <c:v>FN8</c:v>
                </c:pt>
              </c:strCache>
            </c:strRef>
          </c:cat>
          <c:val>
            <c:numRef>
              <c:f>ZONE_CALCULATORS!$D$151:$D$158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915-45CC-A7C8-6C97D57EAA0D}"/>
            </c:ext>
          </c:extLst>
        </c:ser>
        <c:ser>
          <c:idx val="1"/>
          <c:order val="1"/>
          <c:tx>
            <c:v>OT Potential</c:v>
          </c:tx>
          <c:spPr>
            <a:solidFill>
              <a:srgbClr val="ED7D31"/>
            </a:solidFill>
            <a:ln>
              <a:prstDash val="solid"/>
            </a:ln>
          </c:spPr>
          <c:invertIfNegative val="1"/>
          <c:cat>
            <c:strRef>
              <c:f>ZONE_CALCULATORS!$A$151:$A$158</c:f>
              <c:strCache>
                <c:ptCount val="8"/>
                <c:pt idx="0">
                  <c:v>FN1</c:v>
                </c:pt>
                <c:pt idx="1">
                  <c:v>FN2</c:v>
                </c:pt>
                <c:pt idx="2">
                  <c:v>FN3</c:v>
                </c:pt>
                <c:pt idx="3">
                  <c:v>FN4</c:v>
                </c:pt>
                <c:pt idx="4">
                  <c:v>FN5</c:v>
                </c:pt>
                <c:pt idx="5">
                  <c:v>FN6</c:v>
                </c:pt>
                <c:pt idx="6">
                  <c:v>FN7</c:v>
                </c:pt>
                <c:pt idx="7">
                  <c:v>FN8</c:v>
                </c:pt>
              </c:strCache>
            </c:strRef>
          </c:cat>
          <c:val>
            <c:numRef>
              <c:f>ZONE_CALCULATORS!$E$151:$E$158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915-45CC-A7C8-6C97D57EA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lineChart>
        <c:grouping val="standard"/>
        <c:varyColors val="1"/>
        <c:ser>
          <c:idx val="2"/>
          <c:order val="2"/>
          <c:tx>
            <c:v>Target Demand</c:v>
          </c:tx>
          <c:spPr>
            <a:ln w="30000">
              <a:solidFill>
                <a:srgbClr val="FF0000"/>
              </a:solidFill>
              <a:prstDash val="solid"/>
            </a:ln>
          </c:spPr>
          <c:marker>
            <c:symbol val="none"/>
          </c:marker>
          <c:val>
            <c:numRef>
              <c:f>ZONE_CALCULATORS!$B$151:$B$158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915-45CC-A7C8-6C97D57EA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Fortnight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Units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South Unit Cost Analysis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Est. Unit Cost</c:v>
          </c:tx>
          <c:spPr>
            <a:ln>
              <a:solidFill>
                <a:srgbClr val="2F5496"/>
              </a:solidFill>
              <a:prstDash val="solid"/>
            </a:ln>
          </c:spPr>
          <c:marker>
            <c:symbol val="none"/>
          </c:marker>
          <c:cat>
            <c:strRef>
              <c:f>ZONE_CALCULATORS!$A$151:$A$158</c:f>
              <c:strCache>
                <c:ptCount val="8"/>
                <c:pt idx="0">
                  <c:v>FN1</c:v>
                </c:pt>
                <c:pt idx="1">
                  <c:v>FN2</c:v>
                </c:pt>
                <c:pt idx="2">
                  <c:v>FN3</c:v>
                </c:pt>
                <c:pt idx="3">
                  <c:v>FN4</c:v>
                </c:pt>
                <c:pt idx="4">
                  <c:v>FN5</c:v>
                </c:pt>
                <c:pt idx="5">
                  <c:v>FN6</c:v>
                </c:pt>
                <c:pt idx="6">
                  <c:v>FN7</c:v>
                </c:pt>
                <c:pt idx="7">
                  <c:v>FN8</c:v>
                </c:pt>
              </c:strCache>
            </c:strRef>
          </c:cat>
          <c:val>
            <c:numRef>
              <c:f>ZONE_CALCULATORS!$H$151:$H$158</c:f>
              <c:numCache>
                <c:formatCode>\$#,##0</c:formatCode>
                <c:ptCount val="8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40</c:v>
                </c:pt>
                <c:pt idx="4">
                  <c:v>40</c:v>
                </c:pt>
                <c:pt idx="5">
                  <c:v>40</c:v>
                </c:pt>
                <c:pt idx="6">
                  <c:v>40</c:v>
                </c:pt>
                <c:pt idx="7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38-4707-BC50-8C527DF00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Unit Cost ($)</a:t>
                </a:r>
              </a:p>
            </c:rich>
          </c:tx>
          <c:overlay val="1"/>
        </c:title>
        <c:numFmt formatCode="\$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3</xdr:row>
      <xdr:rowOff>0</xdr:rowOff>
    </xdr:from>
    <xdr:ext cx="54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0</xdr:colOff>
      <xdr:row>24</xdr:row>
      <xdr:rowOff>0</xdr:rowOff>
    </xdr:from>
    <xdr:ext cx="540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10</xdr:col>
      <xdr:colOff>0</xdr:colOff>
      <xdr:row>38</xdr:row>
      <xdr:rowOff>0</xdr:rowOff>
    </xdr:from>
    <xdr:ext cx="540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10</xdr:col>
      <xdr:colOff>0</xdr:colOff>
      <xdr:row>59</xdr:row>
      <xdr:rowOff>0</xdr:rowOff>
    </xdr:from>
    <xdr:ext cx="5400000" cy="28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10</xdr:col>
      <xdr:colOff>0</xdr:colOff>
      <xdr:row>73</xdr:row>
      <xdr:rowOff>0</xdr:rowOff>
    </xdr:from>
    <xdr:ext cx="5400000" cy="36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10</xdr:col>
      <xdr:colOff>0</xdr:colOff>
      <xdr:row>94</xdr:row>
      <xdr:rowOff>0</xdr:rowOff>
    </xdr:from>
    <xdr:ext cx="5400000" cy="28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10</xdr:col>
      <xdr:colOff>0</xdr:colOff>
      <xdr:row>108</xdr:row>
      <xdr:rowOff>0</xdr:rowOff>
    </xdr:from>
    <xdr:ext cx="5400000" cy="360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10</xdr:col>
      <xdr:colOff>0</xdr:colOff>
      <xdr:row>129</xdr:row>
      <xdr:rowOff>0</xdr:rowOff>
    </xdr:from>
    <xdr:ext cx="5400000" cy="288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10</xdr:col>
      <xdr:colOff>0</xdr:colOff>
      <xdr:row>143</xdr:row>
      <xdr:rowOff>0</xdr:rowOff>
    </xdr:from>
    <xdr:ext cx="5400000" cy="3600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10</xdr:col>
      <xdr:colOff>0</xdr:colOff>
      <xdr:row>164</xdr:row>
      <xdr:rowOff>0</xdr:rowOff>
    </xdr:from>
    <xdr:ext cx="5400000" cy="288000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9"/>
  <sheetViews>
    <sheetView tabSelected="1" topLeftCell="A144" workbookViewId="0">
      <selection activeCell="B51" sqref="B51"/>
    </sheetView>
  </sheetViews>
  <sheetFormatPr defaultRowHeight="15" x14ac:dyDescent="0.25"/>
  <cols>
    <col min="1" max="1" width="36.140625" customWidth="1"/>
    <col min="2" max="2" width="6.5703125" bestFit="1" customWidth="1"/>
    <col min="3" max="3" width="9.42578125" bestFit="1" customWidth="1"/>
    <col min="4" max="4" width="13.42578125" bestFit="1" customWidth="1"/>
    <col min="5" max="5" width="11.7109375" bestFit="1" customWidth="1"/>
    <col min="6" max="6" width="12.28515625" bestFit="1" customWidth="1"/>
    <col min="7" max="7" width="13.28515625" bestFit="1" customWidth="1"/>
    <col min="8" max="8" width="12.7109375" bestFit="1" customWidth="1"/>
    <col min="9" max="9" width="18.5703125" bestFit="1" customWidth="1"/>
  </cols>
  <sheetData>
    <row r="1" spans="1:10" ht="18.75" x14ac:dyDescent="0.3">
      <c r="A1" s="1" t="s">
        <v>0</v>
      </c>
    </row>
    <row r="2" spans="1:10" x14ac:dyDescent="0.25">
      <c r="A2" s="2" t="s">
        <v>1</v>
      </c>
    </row>
    <row r="4" spans="1:10" x14ac:dyDescent="0.25">
      <c r="A4" s="32" t="s">
        <v>2</v>
      </c>
      <c r="B4" s="28"/>
      <c r="C4" s="28"/>
      <c r="D4" s="28"/>
      <c r="E4" s="28"/>
      <c r="F4" s="28"/>
      <c r="G4" s="28"/>
      <c r="H4" s="28"/>
      <c r="I4" s="28"/>
      <c r="J4" s="28"/>
    </row>
    <row r="5" spans="1:10" x14ac:dyDescent="0.25">
      <c r="A5" s="3" t="s">
        <v>3</v>
      </c>
      <c r="B5" s="4">
        <v>156</v>
      </c>
    </row>
    <row r="6" spans="1:10" x14ac:dyDescent="0.25">
      <c r="A6" s="3" t="s">
        <v>4</v>
      </c>
      <c r="B6" s="4">
        <v>94</v>
      </c>
    </row>
    <row r="7" spans="1:10" x14ac:dyDescent="0.25">
      <c r="A7" s="3" t="s">
        <v>5</v>
      </c>
      <c r="B7" s="4">
        <v>219</v>
      </c>
    </row>
    <row r="8" spans="1:10" x14ac:dyDescent="0.25">
      <c r="A8" s="3" t="s">
        <v>6</v>
      </c>
      <c r="B8" s="4">
        <v>200</v>
      </c>
    </row>
    <row r="10" spans="1:10" x14ac:dyDescent="0.25">
      <c r="A10" s="5" t="s">
        <v>7</v>
      </c>
      <c r="B10" s="5" t="s">
        <v>8</v>
      </c>
      <c r="C10" s="5" t="s">
        <v>9</v>
      </c>
      <c r="D10" s="5" t="s">
        <v>10</v>
      </c>
      <c r="E10" s="5" t="s">
        <v>11</v>
      </c>
      <c r="F10" s="5" t="s">
        <v>12</v>
      </c>
      <c r="G10" s="5" t="s">
        <v>13</v>
      </c>
      <c r="H10" s="5" t="s">
        <v>14</v>
      </c>
      <c r="I10" s="5" t="s">
        <v>15</v>
      </c>
    </row>
    <row r="11" spans="1:10" x14ac:dyDescent="0.25">
      <c r="A11" s="3" t="s">
        <v>16</v>
      </c>
      <c r="B11" s="6">
        <v>6000</v>
      </c>
      <c r="C11" s="7" t="s">
        <v>17</v>
      </c>
      <c r="D11" s="8">
        <f t="shared" ref="D11:D18" si="0">$B$5*$B$8</f>
        <v>31200</v>
      </c>
      <c r="E11" s="9">
        <f t="shared" ref="E11:E18" si="1">D11*0.2</f>
        <v>6240</v>
      </c>
      <c r="F11" s="8">
        <f t="shared" ref="F11:F18" si="2">$B$6</f>
        <v>94</v>
      </c>
      <c r="G11" s="10">
        <f t="shared" ref="G11:G18" si="3">MIN(B11, IF(C11="Y", D11+E11, D11), F11)</f>
        <v>94</v>
      </c>
      <c r="H11" s="11">
        <f t="shared" ref="H11:H18" si="4">IF(C11="Y", 60, 40)</f>
        <v>40</v>
      </c>
      <c r="I11" s="3" t="str">
        <f t="shared" ref="I11:I18" si="5">IF(B11&gt;F11, "SHIPMENT NEEDED!", "OK")</f>
        <v>SHIPMENT NEEDED!</v>
      </c>
    </row>
    <row r="12" spans="1:10" x14ac:dyDescent="0.25">
      <c r="A12" s="3" t="s">
        <v>18</v>
      </c>
      <c r="B12" s="6">
        <v>15556</v>
      </c>
      <c r="C12" s="7" t="s">
        <v>67</v>
      </c>
      <c r="D12" s="8">
        <f t="shared" si="0"/>
        <v>31200</v>
      </c>
      <c r="E12" s="9">
        <f t="shared" si="1"/>
        <v>6240</v>
      </c>
      <c r="F12" s="8">
        <f t="shared" si="2"/>
        <v>94</v>
      </c>
      <c r="G12" s="10">
        <f t="shared" si="3"/>
        <v>94</v>
      </c>
      <c r="H12" s="11">
        <f t="shared" si="4"/>
        <v>60</v>
      </c>
      <c r="I12" s="3" t="str">
        <f t="shared" si="5"/>
        <v>SHIPMENT NEEDED!</v>
      </c>
    </row>
    <row r="13" spans="1:10" x14ac:dyDescent="0.25">
      <c r="A13" s="3" t="s">
        <v>19</v>
      </c>
      <c r="B13" s="6">
        <v>500</v>
      </c>
      <c r="C13" s="7" t="s">
        <v>17</v>
      </c>
      <c r="D13" s="8">
        <f t="shared" si="0"/>
        <v>31200</v>
      </c>
      <c r="E13" s="9">
        <f t="shared" si="1"/>
        <v>6240</v>
      </c>
      <c r="F13" s="8">
        <f t="shared" si="2"/>
        <v>94</v>
      </c>
      <c r="G13" s="10">
        <f t="shared" si="3"/>
        <v>94</v>
      </c>
      <c r="H13" s="11">
        <f t="shared" si="4"/>
        <v>40</v>
      </c>
      <c r="I13" s="3" t="str">
        <f t="shared" si="5"/>
        <v>SHIPMENT NEEDED!</v>
      </c>
    </row>
    <row r="14" spans="1:10" x14ac:dyDescent="0.25">
      <c r="A14" s="3" t="s">
        <v>20</v>
      </c>
      <c r="B14" s="6">
        <v>500</v>
      </c>
      <c r="C14" s="7" t="s">
        <v>17</v>
      </c>
      <c r="D14" s="8">
        <f t="shared" si="0"/>
        <v>31200</v>
      </c>
      <c r="E14" s="9">
        <f t="shared" si="1"/>
        <v>6240</v>
      </c>
      <c r="F14" s="8">
        <f t="shared" si="2"/>
        <v>94</v>
      </c>
      <c r="G14" s="10">
        <f t="shared" si="3"/>
        <v>94</v>
      </c>
      <c r="H14" s="11">
        <f t="shared" si="4"/>
        <v>40</v>
      </c>
      <c r="I14" s="3" t="str">
        <f t="shared" si="5"/>
        <v>SHIPMENT NEEDED!</v>
      </c>
    </row>
    <row r="15" spans="1:10" x14ac:dyDescent="0.25">
      <c r="A15" s="3" t="s">
        <v>21</v>
      </c>
      <c r="B15" s="6">
        <v>500</v>
      </c>
      <c r="C15" s="7" t="s">
        <v>67</v>
      </c>
      <c r="D15" s="8">
        <f t="shared" si="0"/>
        <v>31200</v>
      </c>
      <c r="E15" s="9">
        <f t="shared" si="1"/>
        <v>6240</v>
      </c>
      <c r="F15" s="8">
        <f t="shared" si="2"/>
        <v>94</v>
      </c>
      <c r="G15" s="10">
        <f t="shared" si="3"/>
        <v>94</v>
      </c>
      <c r="H15" s="11">
        <f t="shared" si="4"/>
        <v>60</v>
      </c>
      <c r="I15" s="3" t="str">
        <f t="shared" si="5"/>
        <v>SHIPMENT NEEDED!</v>
      </c>
    </row>
    <row r="16" spans="1:10" x14ac:dyDescent="0.25">
      <c r="A16" s="3" t="s">
        <v>22</v>
      </c>
      <c r="B16" s="6">
        <v>1222</v>
      </c>
      <c r="C16" s="7" t="s">
        <v>17</v>
      </c>
      <c r="D16" s="8">
        <f t="shared" si="0"/>
        <v>31200</v>
      </c>
      <c r="E16" s="9">
        <f t="shared" si="1"/>
        <v>6240</v>
      </c>
      <c r="F16" s="8">
        <f t="shared" si="2"/>
        <v>94</v>
      </c>
      <c r="G16" s="10">
        <f t="shared" si="3"/>
        <v>94</v>
      </c>
      <c r="H16" s="11">
        <f t="shared" si="4"/>
        <v>40</v>
      </c>
      <c r="I16" s="3" t="str">
        <f t="shared" si="5"/>
        <v>SHIPMENT NEEDED!</v>
      </c>
    </row>
    <row r="17" spans="1:9" x14ac:dyDescent="0.25">
      <c r="A17" s="3" t="s">
        <v>23</v>
      </c>
      <c r="B17" s="6">
        <v>500</v>
      </c>
      <c r="C17" s="7" t="s">
        <v>17</v>
      </c>
      <c r="D17" s="8">
        <f t="shared" si="0"/>
        <v>31200</v>
      </c>
      <c r="E17" s="9">
        <f t="shared" si="1"/>
        <v>6240</v>
      </c>
      <c r="F17" s="8">
        <f t="shared" si="2"/>
        <v>94</v>
      </c>
      <c r="G17" s="10">
        <f t="shared" si="3"/>
        <v>94</v>
      </c>
      <c r="H17" s="11">
        <f t="shared" si="4"/>
        <v>40</v>
      </c>
      <c r="I17" s="3" t="str">
        <f t="shared" si="5"/>
        <v>SHIPMENT NEEDED!</v>
      </c>
    </row>
    <row r="18" spans="1:9" x14ac:dyDescent="0.25">
      <c r="A18" s="3" t="s">
        <v>24</v>
      </c>
      <c r="B18" s="6">
        <v>500</v>
      </c>
      <c r="C18" s="7" t="s">
        <v>17</v>
      </c>
      <c r="D18" s="8">
        <f t="shared" si="0"/>
        <v>31200</v>
      </c>
      <c r="E18" s="9">
        <f t="shared" si="1"/>
        <v>6240</v>
      </c>
      <c r="F18" s="8">
        <f t="shared" si="2"/>
        <v>94</v>
      </c>
      <c r="G18" s="10">
        <f t="shared" si="3"/>
        <v>94</v>
      </c>
      <c r="H18" s="11">
        <f t="shared" si="4"/>
        <v>40</v>
      </c>
      <c r="I18" s="3" t="str">
        <f t="shared" si="5"/>
        <v>SHIPMENT NEEDED!</v>
      </c>
    </row>
    <row r="19" spans="1:9" x14ac:dyDescent="0.25">
      <c r="A19" s="12" t="s">
        <v>25</v>
      </c>
      <c r="B19" s="13">
        <f>SUM(B11:B18)</f>
        <v>25278</v>
      </c>
      <c r="G19" s="14">
        <f>SUM(G11:G18)</f>
        <v>752</v>
      </c>
    </row>
    <row r="39" spans="1:10" x14ac:dyDescent="0.25">
      <c r="A39" s="30" t="s">
        <v>26</v>
      </c>
      <c r="B39" s="28"/>
      <c r="C39" s="28"/>
      <c r="D39" s="28"/>
      <c r="E39" s="28"/>
      <c r="F39" s="28"/>
      <c r="G39" s="28"/>
      <c r="H39" s="28"/>
      <c r="I39" s="28"/>
      <c r="J39" s="28"/>
    </row>
    <row r="40" spans="1:10" x14ac:dyDescent="0.25">
      <c r="A40" s="3" t="s">
        <v>3</v>
      </c>
      <c r="B40" s="4">
        <v>0</v>
      </c>
    </row>
    <row r="41" spans="1:10" x14ac:dyDescent="0.25">
      <c r="A41" s="3" t="s">
        <v>4</v>
      </c>
      <c r="B41" s="4">
        <v>36</v>
      </c>
    </row>
    <row r="42" spans="1:10" x14ac:dyDescent="0.25">
      <c r="A42" s="3" t="s">
        <v>5</v>
      </c>
      <c r="B42" s="4">
        <v>71</v>
      </c>
    </row>
    <row r="43" spans="1:10" x14ac:dyDescent="0.25">
      <c r="A43" s="3" t="s">
        <v>6</v>
      </c>
      <c r="B43" s="4">
        <v>200</v>
      </c>
    </row>
    <row r="45" spans="1:10" x14ac:dyDescent="0.25">
      <c r="A45" s="15" t="s">
        <v>7</v>
      </c>
      <c r="B45" s="15" t="s">
        <v>8</v>
      </c>
      <c r="C45" s="15" t="s">
        <v>9</v>
      </c>
      <c r="D45" s="15" t="s">
        <v>10</v>
      </c>
      <c r="E45" s="15" t="s">
        <v>11</v>
      </c>
      <c r="F45" s="15" t="s">
        <v>12</v>
      </c>
      <c r="G45" s="15" t="s">
        <v>13</v>
      </c>
      <c r="H45" s="15" t="s">
        <v>14</v>
      </c>
      <c r="I45" s="15" t="s">
        <v>15</v>
      </c>
    </row>
    <row r="46" spans="1:10" x14ac:dyDescent="0.25">
      <c r="A46" s="3" t="s">
        <v>16</v>
      </c>
      <c r="B46" s="6">
        <v>1244</v>
      </c>
      <c r="C46" s="7" t="s">
        <v>17</v>
      </c>
      <c r="D46" s="8">
        <f t="shared" ref="D46:D53" si="6">$B$40*$B$43</f>
        <v>0</v>
      </c>
      <c r="E46" s="9">
        <f t="shared" ref="E46:E53" si="7">D46*0.2</f>
        <v>0</v>
      </c>
      <c r="F46" s="8">
        <f t="shared" ref="F46:F53" si="8">$B$41</f>
        <v>36</v>
      </c>
      <c r="G46" s="10">
        <f t="shared" ref="G46:G53" si="9">MIN(B46, IF(C46="Y", D46+E46, D46), F46)</f>
        <v>0</v>
      </c>
      <c r="H46" s="11">
        <f t="shared" ref="H46:H53" si="10">IF(C46="Y", 60, 40)</f>
        <v>40</v>
      </c>
      <c r="I46" s="3" t="str">
        <f t="shared" ref="I46:I53" si="11">IF(B46&gt;F46, "SHIPMENT NEEDED!", "OK")</f>
        <v>SHIPMENT NEEDED!</v>
      </c>
    </row>
    <row r="47" spans="1:10" x14ac:dyDescent="0.25">
      <c r="A47" s="3" t="s">
        <v>18</v>
      </c>
      <c r="B47" s="6">
        <v>3533</v>
      </c>
      <c r="C47" s="7" t="s">
        <v>17</v>
      </c>
      <c r="D47" s="8">
        <f t="shared" si="6"/>
        <v>0</v>
      </c>
      <c r="E47" s="9">
        <f t="shared" si="7"/>
        <v>0</v>
      </c>
      <c r="F47" s="8">
        <f t="shared" si="8"/>
        <v>36</v>
      </c>
      <c r="G47" s="10">
        <f t="shared" si="9"/>
        <v>0</v>
      </c>
      <c r="H47" s="11">
        <f t="shared" si="10"/>
        <v>40</v>
      </c>
      <c r="I47" s="3" t="str">
        <f t="shared" si="11"/>
        <v>SHIPMENT NEEDED!</v>
      </c>
    </row>
    <row r="48" spans="1:10" x14ac:dyDescent="0.25">
      <c r="A48" s="3" t="s">
        <v>19</v>
      </c>
      <c r="B48" s="6">
        <v>0</v>
      </c>
      <c r="C48" s="7" t="s">
        <v>17</v>
      </c>
      <c r="D48" s="8">
        <f t="shared" si="6"/>
        <v>0</v>
      </c>
      <c r="E48" s="9">
        <f t="shared" si="7"/>
        <v>0</v>
      </c>
      <c r="F48" s="8">
        <f t="shared" si="8"/>
        <v>36</v>
      </c>
      <c r="G48" s="10">
        <f t="shared" si="9"/>
        <v>0</v>
      </c>
      <c r="H48" s="11">
        <f t="shared" si="10"/>
        <v>40</v>
      </c>
      <c r="I48" s="3" t="str">
        <f t="shared" si="11"/>
        <v>OK</v>
      </c>
    </row>
    <row r="49" spans="1:9" x14ac:dyDescent="0.25">
      <c r="A49" s="3" t="s">
        <v>20</v>
      </c>
      <c r="B49" s="6">
        <v>0</v>
      </c>
      <c r="C49" s="7" t="s">
        <v>17</v>
      </c>
      <c r="D49" s="8">
        <f t="shared" si="6"/>
        <v>0</v>
      </c>
      <c r="E49" s="9">
        <f t="shared" si="7"/>
        <v>0</v>
      </c>
      <c r="F49" s="8">
        <f t="shared" si="8"/>
        <v>36</v>
      </c>
      <c r="G49" s="10">
        <f t="shared" si="9"/>
        <v>0</v>
      </c>
      <c r="H49" s="11">
        <f t="shared" si="10"/>
        <v>40</v>
      </c>
      <c r="I49" s="3" t="str">
        <f t="shared" si="11"/>
        <v>OK</v>
      </c>
    </row>
    <row r="50" spans="1:9" x14ac:dyDescent="0.25">
      <c r="A50" s="3" t="s">
        <v>21</v>
      </c>
      <c r="B50" s="6">
        <v>1225</v>
      </c>
      <c r="C50" s="7" t="s">
        <v>17</v>
      </c>
      <c r="D50" s="8">
        <f t="shared" si="6"/>
        <v>0</v>
      </c>
      <c r="E50" s="9">
        <f t="shared" si="7"/>
        <v>0</v>
      </c>
      <c r="F50" s="8">
        <f t="shared" si="8"/>
        <v>36</v>
      </c>
      <c r="G50" s="10">
        <f t="shared" si="9"/>
        <v>0</v>
      </c>
      <c r="H50" s="11">
        <f t="shared" si="10"/>
        <v>40</v>
      </c>
      <c r="I50" s="3" t="str">
        <f t="shared" si="11"/>
        <v>SHIPMENT NEEDED!</v>
      </c>
    </row>
    <row r="51" spans="1:9" x14ac:dyDescent="0.25">
      <c r="A51" s="3" t="s">
        <v>22</v>
      </c>
      <c r="B51" s="6">
        <v>126</v>
      </c>
      <c r="C51" s="7" t="s">
        <v>67</v>
      </c>
      <c r="D51" s="8">
        <f t="shared" si="6"/>
        <v>0</v>
      </c>
      <c r="E51" s="9">
        <f t="shared" si="7"/>
        <v>0</v>
      </c>
      <c r="F51" s="8">
        <f t="shared" si="8"/>
        <v>36</v>
      </c>
      <c r="G51" s="10">
        <f t="shared" si="9"/>
        <v>0</v>
      </c>
      <c r="H51" s="11">
        <f t="shared" si="10"/>
        <v>60</v>
      </c>
      <c r="I51" s="3" t="str">
        <f t="shared" si="11"/>
        <v>SHIPMENT NEEDED!</v>
      </c>
    </row>
    <row r="52" spans="1:9" x14ac:dyDescent="0.25">
      <c r="A52" s="3" t="s">
        <v>23</v>
      </c>
      <c r="B52" s="6">
        <v>0</v>
      </c>
      <c r="C52" s="7" t="s">
        <v>17</v>
      </c>
      <c r="D52" s="8">
        <f t="shared" si="6"/>
        <v>0</v>
      </c>
      <c r="E52" s="9">
        <f t="shared" si="7"/>
        <v>0</v>
      </c>
      <c r="F52" s="8">
        <f t="shared" si="8"/>
        <v>36</v>
      </c>
      <c r="G52" s="10">
        <f t="shared" si="9"/>
        <v>0</v>
      </c>
      <c r="H52" s="11">
        <f t="shared" si="10"/>
        <v>40</v>
      </c>
      <c r="I52" s="3" t="str">
        <f t="shared" si="11"/>
        <v>OK</v>
      </c>
    </row>
    <row r="53" spans="1:9" x14ac:dyDescent="0.25">
      <c r="A53" s="3" t="s">
        <v>24</v>
      </c>
      <c r="B53" s="6">
        <v>0</v>
      </c>
      <c r="C53" s="7" t="s">
        <v>17</v>
      </c>
      <c r="D53" s="8">
        <f t="shared" si="6"/>
        <v>0</v>
      </c>
      <c r="E53" s="9">
        <f t="shared" si="7"/>
        <v>0</v>
      </c>
      <c r="F53" s="8">
        <f t="shared" si="8"/>
        <v>36</v>
      </c>
      <c r="G53" s="10">
        <f t="shared" si="9"/>
        <v>0</v>
      </c>
      <c r="H53" s="11">
        <f t="shared" si="10"/>
        <v>40</v>
      </c>
      <c r="I53" s="3" t="str">
        <f t="shared" si="11"/>
        <v>OK</v>
      </c>
    </row>
    <row r="54" spans="1:9" x14ac:dyDescent="0.25">
      <c r="A54" s="12" t="s">
        <v>25</v>
      </c>
      <c r="B54" s="13">
        <f>SUM(B46:B53)</f>
        <v>6128</v>
      </c>
      <c r="G54" s="14">
        <f>SUM(G46:G53)</f>
        <v>0</v>
      </c>
    </row>
    <row r="74" spans="1:10" x14ac:dyDescent="0.25">
      <c r="A74" s="27" t="s">
        <v>27</v>
      </c>
      <c r="B74" s="28"/>
      <c r="C74" s="28"/>
      <c r="D74" s="28"/>
      <c r="E74" s="28"/>
      <c r="F74" s="28"/>
      <c r="G74" s="28"/>
      <c r="H74" s="28"/>
      <c r="I74" s="28"/>
      <c r="J74" s="28"/>
    </row>
    <row r="75" spans="1:10" x14ac:dyDescent="0.25">
      <c r="A75" s="3" t="s">
        <v>3</v>
      </c>
      <c r="B75" s="4">
        <v>0</v>
      </c>
    </row>
    <row r="76" spans="1:10" x14ac:dyDescent="0.25">
      <c r="A76" s="3" t="s">
        <v>4</v>
      </c>
      <c r="B76" s="4">
        <v>0</v>
      </c>
    </row>
    <row r="77" spans="1:10" x14ac:dyDescent="0.25">
      <c r="A77" s="3" t="s">
        <v>5</v>
      </c>
      <c r="B77" s="4">
        <v>0</v>
      </c>
    </row>
    <row r="78" spans="1:10" x14ac:dyDescent="0.25">
      <c r="A78" s="3" t="s">
        <v>6</v>
      </c>
      <c r="B78" s="4">
        <v>200</v>
      </c>
    </row>
    <row r="80" spans="1:10" x14ac:dyDescent="0.25">
      <c r="A80" s="16" t="s">
        <v>7</v>
      </c>
      <c r="B80" s="16" t="s">
        <v>8</v>
      </c>
      <c r="C80" s="16" t="s">
        <v>9</v>
      </c>
      <c r="D80" s="16" t="s">
        <v>10</v>
      </c>
      <c r="E80" s="16" t="s">
        <v>11</v>
      </c>
      <c r="F80" s="16" t="s">
        <v>12</v>
      </c>
      <c r="G80" s="16" t="s">
        <v>13</v>
      </c>
      <c r="H80" s="16" t="s">
        <v>14</v>
      </c>
      <c r="I80" s="16" t="s">
        <v>15</v>
      </c>
    </row>
    <row r="81" spans="1:9" x14ac:dyDescent="0.25">
      <c r="A81" s="3" t="s">
        <v>16</v>
      </c>
      <c r="B81" s="6">
        <v>0</v>
      </c>
      <c r="C81" s="7" t="s">
        <v>17</v>
      </c>
      <c r="D81" s="8">
        <f t="shared" ref="D81:D88" si="12">$B$75*$B$78</f>
        <v>0</v>
      </c>
      <c r="E81" s="9">
        <f t="shared" ref="E81:E88" si="13">D81*0.2</f>
        <v>0</v>
      </c>
      <c r="F81" s="8">
        <f t="shared" ref="F81:F88" si="14">$B$76</f>
        <v>0</v>
      </c>
      <c r="G81" s="10">
        <f t="shared" ref="G81:G88" si="15">MIN(B81, IF(C81="Y", D81+E81, D81), F81)</f>
        <v>0</v>
      </c>
      <c r="H81" s="11">
        <f t="shared" ref="H81:H88" si="16">IF(C81="Y", 60, 40)</f>
        <v>40</v>
      </c>
      <c r="I81" s="3" t="str">
        <f t="shared" ref="I81:I88" si="17">IF(B81&gt;F81, "SHIPMENT NEEDED!", "OK")</f>
        <v>OK</v>
      </c>
    </row>
    <row r="82" spans="1:9" x14ac:dyDescent="0.25">
      <c r="A82" s="3" t="s">
        <v>18</v>
      </c>
      <c r="B82" s="6">
        <v>0</v>
      </c>
      <c r="C82" s="7" t="s">
        <v>17</v>
      </c>
      <c r="D82" s="8">
        <f t="shared" si="12"/>
        <v>0</v>
      </c>
      <c r="E82" s="9">
        <f t="shared" si="13"/>
        <v>0</v>
      </c>
      <c r="F82" s="8">
        <f t="shared" si="14"/>
        <v>0</v>
      </c>
      <c r="G82" s="10">
        <f t="shared" si="15"/>
        <v>0</v>
      </c>
      <c r="H82" s="11">
        <f t="shared" si="16"/>
        <v>40</v>
      </c>
      <c r="I82" s="3" t="str">
        <f t="shared" si="17"/>
        <v>OK</v>
      </c>
    </row>
    <row r="83" spans="1:9" x14ac:dyDescent="0.25">
      <c r="A83" s="3" t="s">
        <v>19</v>
      </c>
      <c r="B83" s="6">
        <v>0</v>
      </c>
      <c r="C83" s="7" t="s">
        <v>17</v>
      </c>
      <c r="D83" s="8">
        <f t="shared" si="12"/>
        <v>0</v>
      </c>
      <c r="E83" s="9">
        <f t="shared" si="13"/>
        <v>0</v>
      </c>
      <c r="F83" s="8">
        <f t="shared" si="14"/>
        <v>0</v>
      </c>
      <c r="G83" s="10">
        <f t="shared" si="15"/>
        <v>0</v>
      </c>
      <c r="H83" s="11">
        <f t="shared" si="16"/>
        <v>40</v>
      </c>
      <c r="I83" s="3" t="str">
        <f t="shared" si="17"/>
        <v>OK</v>
      </c>
    </row>
    <row r="84" spans="1:9" x14ac:dyDescent="0.25">
      <c r="A84" s="3" t="s">
        <v>20</v>
      </c>
      <c r="B84" s="6">
        <v>0</v>
      </c>
      <c r="C84" s="7" t="s">
        <v>17</v>
      </c>
      <c r="D84" s="8">
        <f t="shared" si="12"/>
        <v>0</v>
      </c>
      <c r="E84" s="9">
        <f t="shared" si="13"/>
        <v>0</v>
      </c>
      <c r="F84" s="8">
        <f t="shared" si="14"/>
        <v>0</v>
      </c>
      <c r="G84" s="10">
        <f t="shared" si="15"/>
        <v>0</v>
      </c>
      <c r="H84" s="11">
        <f t="shared" si="16"/>
        <v>40</v>
      </c>
      <c r="I84" s="3" t="str">
        <f t="shared" si="17"/>
        <v>OK</v>
      </c>
    </row>
    <row r="85" spans="1:9" x14ac:dyDescent="0.25">
      <c r="A85" s="3" t="s">
        <v>21</v>
      </c>
      <c r="B85" s="6">
        <v>0</v>
      </c>
      <c r="C85" s="7" t="s">
        <v>17</v>
      </c>
      <c r="D85" s="8">
        <f t="shared" si="12"/>
        <v>0</v>
      </c>
      <c r="E85" s="9">
        <f t="shared" si="13"/>
        <v>0</v>
      </c>
      <c r="F85" s="8">
        <f t="shared" si="14"/>
        <v>0</v>
      </c>
      <c r="G85" s="10">
        <f t="shared" si="15"/>
        <v>0</v>
      </c>
      <c r="H85" s="11">
        <f t="shared" si="16"/>
        <v>40</v>
      </c>
      <c r="I85" s="3" t="str">
        <f t="shared" si="17"/>
        <v>OK</v>
      </c>
    </row>
    <row r="86" spans="1:9" x14ac:dyDescent="0.25">
      <c r="A86" s="3" t="s">
        <v>22</v>
      </c>
      <c r="B86" s="6">
        <v>0</v>
      </c>
      <c r="C86" s="7" t="s">
        <v>17</v>
      </c>
      <c r="D86" s="8">
        <f t="shared" si="12"/>
        <v>0</v>
      </c>
      <c r="E86" s="9">
        <f t="shared" si="13"/>
        <v>0</v>
      </c>
      <c r="F86" s="8">
        <f t="shared" si="14"/>
        <v>0</v>
      </c>
      <c r="G86" s="10">
        <f t="shared" si="15"/>
        <v>0</v>
      </c>
      <c r="H86" s="11">
        <f t="shared" si="16"/>
        <v>40</v>
      </c>
      <c r="I86" s="3" t="str">
        <f t="shared" si="17"/>
        <v>OK</v>
      </c>
    </row>
    <row r="87" spans="1:9" x14ac:dyDescent="0.25">
      <c r="A87" s="3" t="s">
        <v>23</v>
      </c>
      <c r="B87" s="6">
        <v>0</v>
      </c>
      <c r="C87" s="7" t="s">
        <v>17</v>
      </c>
      <c r="D87" s="8">
        <f t="shared" si="12"/>
        <v>0</v>
      </c>
      <c r="E87" s="9">
        <f t="shared" si="13"/>
        <v>0</v>
      </c>
      <c r="F87" s="8">
        <f t="shared" si="14"/>
        <v>0</v>
      </c>
      <c r="G87" s="10">
        <f t="shared" si="15"/>
        <v>0</v>
      </c>
      <c r="H87" s="11">
        <f t="shared" si="16"/>
        <v>40</v>
      </c>
      <c r="I87" s="3" t="str">
        <f t="shared" si="17"/>
        <v>OK</v>
      </c>
    </row>
    <row r="88" spans="1:9" x14ac:dyDescent="0.25">
      <c r="A88" s="3" t="s">
        <v>24</v>
      </c>
      <c r="B88" s="6">
        <v>0</v>
      </c>
      <c r="C88" s="7" t="s">
        <v>17</v>
      </c>
      <c r="D88" s="8">
        <f t="shared" si="12"/>
        <v>0</v>
      </c>
      <c r="E88" s="9">
        <f t="shared" si="13"/>
        <v>0</v>
      </c>
      <c r="F88" s="8">
        <f t="shared" si="14"/>
        <v>0</v>
      </c>
      <c r="G88" s="10">
        <f t="shared" si="15"/>
        <v>0</v>
      </c>
      <c r="H88" s="11">
        <f t="shared" si="16"/>
        <v>40</v>
      </c>
      <c r="I88" s="3" t="str">
        <f t="shared" si="17"/>
        <v>OK</v>
      </c>
    </row>
    <row r="89" spans="1:9" x14ac:dyDescent="0.25">
      <c r="A89" s="12" t="s">
        <v>25</v>
      </c>
      <c r="B89" s="13">
        <f>SUM(B81:B88)</f>
        <v>0</v>
      </c>
      <c r="G89" s="14">
        <f>SUM(G81:G88)</f>
        <v>0</v>
      </c>
    </row>
    <row r="109" spans="1:10" x14ac:dyDescent="0.25">
      <c r="A109" s="31" t="s">
        <v>28</v>
      </c>
      <c r="B109" s="28"/>
      <c r="C109" s="28"/>
      <c r="D109" s="28"/>
      <c r="E109" s="28"/>
      <c r="F109" s="28"/>
      <c r="G109" s="28"/>
      <c r="H109" s="28"/>
      <c r="I109" s="28"/>
      <c r="J109" s="28"/>
    </row>
    <row r="110" spans="1:10" x14ac:dyDescent="0.25">
      <c r="A110" s="3" t="s">
        <v>3</v>
      </c>
      <c r="B110" s="4">
        <v>0</v>
      </c>
    </row>
    <row r="111" spans="1:10" x14ac:dyDescent="0.25">
      <c r="A111" s="3" t="s">
        <v>4</v>
      </c>
      <c r="B111" s="4">
        <v>0</v>
      </c>
    </row>
    <row r="112" spans="1:10" x14ac:dyDescent="0.25">
      <c r="A112" s="3" t="s">
        <v>5</v>
      </c>
      <c r="B112" s="4">
        <v>0</v>
      </c>
    </row>
    <row r="113" spans="1:9" x14ac:dyDescent="0.25">
      <c r="A113" s="3" t="s">
        <v>6</v>
      </c>
      <c r="B113" s="4">
        <v>200</v>
      </c>
    </row>
    <row r="115" spans="1:9" x14ac:dyDescent="0.25">
      <c r="A115" s="17" t="s">
        <v>7</v>
      </c>
      <c r="B115" s="17" t="s">
        <v>8</v>
      </c>
      <c r="C115" s="17" t="s">
        <v>9</v>
      </c>
      <c r="D115" s="17" t="s">
        <v>10</v>
      </c>
      <c r="E115" s="17" t="s">
        <v>11</v>
      </c>
      <c r="F115" s="17" t="s">
        <v>12</v>
      </c>
      <c r="G115" s="17" t="s">
        <v>13</v>
      </c>
      <c r="H115" s="17" t="s">
        <v>14</v>
      </c>
      <c r="I115" s="17" t="s">
        <v>15</v>
      </c>
    </row>
    <row r="116" spans="1:9" x14ac:dyDescent="0.25">
      <c r="A116" s="3" t="s">
        <v>16</v>
      </c>
      <c r="B116" s="6">
        <v>0</v>
      </c>
      <c r="C116" s="7" t="s">
        <v>17</v>
      </c>
      <c r="D116" s="8">
        <f t="shared" ref="D116:D123" si="18">$B$110*$B$113</f>
        <v>0</v>
      </c>
      <c r="E116" s="9">
        <f t="shared" ref="E116:E123" si="19">D116*0.2</f>
        <v>0</v>
      </c>
      <c r="F116" s="8">
        <f t="shared" ref="F116:F123" si="20">$B$111</f>
        <v>0</v>
      </c>
      <c r="G116" s="10">
        <f t="shared" ref="G116:G123" si="21">MIN(B116, IF(C116="Y", D116+E116, D116), F116)</f>
        <v>0</v>
      </c>
      <c r="H116" s="11">
        <f t="shared" ref="H116:H123" si="22">IF(C116="Y", 60, 40)</f>
        <v>40</v>
      </c>
      <c r="I116" s="3" t="str">
        <f t="shared" ref="I116:I123" si="23">IF(B116&gt;F116, "SHIPMENT NEEDED!", "OK")</f>
        <v>OK</v>
      </c>
    </row>
    <row r="117" spans="1:9" x14ac:dyDescent="0.25">
      <c r="A117" s="3" t="s">
        <v>18</v>
      </c>
      <c r="B117" s="6">
        <v>0</v>
      </c>
      <c r="C117" s="7" t="s">
        <v>17</v>
      </c>
      <c r="D117" s="8">
        <f t="shared" si="18"/>
        <v>0</v>
      </c>
      <c r="E117" s="9">
        <f t="shared" si="19"/>
        <v>0</v>
      </c>
      <c r="F117" s="8">
        <f t="shared" si="20"/>
        <v>0</v>
      </c>
      <c r="G117" s="10">
        <f t="shared" si="21"/>
        <v>0</v>
      </c>
      <c r="H117" s="11">
        <f t="shared" si="22"/>
        <v>40</v>
      </c>
      <c r="I117" s="3" t="str">
        <f t="shared" si="23"/>
        <v>OK</v>
      </c>
    </row>
    <row r="118" spans="1:9" x14ac:dyDescent="0.25">
      <c r="A118" s="3" t="s">
        <v>19</v>
      </c>
      <c r="B118" s="6">
        <v>0</v>
      </c>
      <c r="C118" s="7" t="s">
        <v>17</v>
      </c>
      <c r="D118" s="8">
        <f t="shared" si="18"/>
        <v>0</v>
      </c>
      <c r="E118" s="9">
        <f t="shared" si="19"/>
        <v>0</v>
      </c>
      <c r="F118" s="8">
        <f t="shared" si="20"/>
        <v>0</v>
      </c>
      <c r="G118" s="10">
        <f t="shared" si="21"/>
        <v>0</v>
      </c>
      <c r="H118" s="11">
        <f t="shared" si="22"/>
        <v>40</v>
      </c>
      <c r="I118" s="3" t="str">
        <f t="shared" si="23"/>
        <v>OK</v>
      </c>
    </row>
    <row r="119" spans="1:9" x14ac:dyDescent="0.25">
      <c r="A119" s="3" t="s">
        <v>20</v>
      </c>
      <c r="B119" s="6">
        <v>0</v>
      </c>
      <c r="C119" s="7" t="s">
        <v>17</v>
      </c>
      <c r="D119" s="8">
        <f t="shared" si="18"/>
        <v>0</v>
      </c>
      <c r="E119" s="9">
        <f t="shared" si="19"/>
        <v>0</v>
      </c>
      <c r="F119" s="8">
        <f t="shared" si="20"/>
        <v>0</v>
      </c>
      <c r="G119" s="10">
        <f t="shared" si="21"/>
        <v>0</v>
      </c>
      <c r="H119" s="11">
        <f t="shared" si="22"/>
        <v>40</v>
      </c>
      <c r="I119" s="3" t="str">
        <f t="shared" si="23"/>
        <v>OK</v>
      </c>
    </row>
    <row r="120" spans="1:9" x14ac:dyDescent="0.25">
      <c r="A120" s="3" t="s">
        <v>21</v>
      </c>
      <c r="B120" s="6">
        <v>0</v>
      </c>
      <c r="C120" s="7" t="s">
        <v>17</v>
      </c>
      <c r="D120" s="8">
        <f t="shared" si="18"/>
        <v>0</v>
      </c>
      <c r="E120" s="9">
        <f t="shared" si="19"/>
        <v>0</v>
      </c>
      <c r="F120" s="8">
        <f t="shared" si="20"/>
        <v>0</v>
      </c>
      <c r="G120" s="10">
        <f t="shared" si="21"/>
        <v>0</v>
      </c>
      <c r="H120" s="11">
        <f t="shared" si="22"/>
        <v>40</v>
      </c>
      <c r="I120" s="3" t="str">
        <f t="shared" si="23"/>
        <v>OK</v>
      </c>
    </row>
    <row r="121" spans="1:9" x14ac:dyDescent="0.25">
      <c r="A121" s="3" t="s">
        <v>22</v>
      </c>
      <c r="B121" s="6">
        <v>0</v>
      </c>
      <c r="C121" s="7" t="s">
        <v>17</v>
      </c>
      <c r="D121" s="8">
        <f t="shared" si="18"/>
        <v>0</v>
      </c>
      <c r="E121" s="9">
        <f t="shared" si="19"/>
        <v>0</v>
      </c>
      <c r="F121" s="8">
        <f t="shared" si="20"/>
        <v>0</v>
      </c>
      <c r="G121" s="10">
        <f t="shared" si="21"/>
        <v>0</v>
      </c>
      <c r="H121" s="11">
        <f t="shared" si="22"/>
        <v>40</v>
      </c>
      <c r="I121" s="3" t="str">
        <f t="shared" si="23"/>
        <v>OK</v>
      </c>
    </row>
    <row r="122" spans="1:9" x14ac:dyDescent="0.25">
      <c r="A122" s="3" t="s">
        <v>23</v>
      </c>
      <c r="B122" s="6">
        <v>0</v>
      </c>
      <c r="C122" s="7" t="s">
        <v>17</v>
      </c>
      <c r="D122" s="8">
        <f t="shared" si="18"/>
        <v>0</v>
      </c>
      <c r="E122" s="9">
        <f t="shared" si="19"/>
        <v>0</v>
      </c>
      <c r="F122" s="8">
        <f t="shared" si="20"/>
        <v>0</v>
      </c>
      <c r="G122" s="10">
        <f t="shared" si="21"/>
        <v>0</v>
      </c>
      <c r="H122" s="11">
        <f t="shared" si="22"/>
        <v>40</v>
      </c>
      <c r="I122" s="3" t="str">
        <f t="shared" si="23"/>
        <v>OK</v>
      </c>
    </row>
    <row r="123" spans="1:9" x14ac:dyDescent="0.25">
      <c r="A123" s="3" t="s">
        <v>24</v>
      </c>
      <c r="B123" s="6">
        <v>0</v>
      </c>
      <c r="C123" s="7" t="s">
        <v>17</v>
      </c>
      <c r="D123" s="8">
        <f t="shared" si="18"/>
        <v>0</v>
      </c>
      <c r="E123" s="9">
        <f t="shared" si="19"/>
        <v>0</v>
      </c>
      <c r="F123" s="8">
        <f t="shared" si="20"/>
        <v>0</v>
      </c>
      <c r="G123" s="10">
        <f t="shared" si="21"/>
        <v>0</v>
      </c>
      <c r="H123" s="11">
        <f t="shared" si="22"/>
        <v>40</v>
      </c>
      <c r="I123" s="3" t="str">
        <f t="shared" si="23"/>
        <v>OK</v>
      </c>
    </row>
    <row r="124" spans="1:9" x14ac:dyDescent="0.25">
      <c r="A124" s="12" t="s">
        <v>25</v>
      </c>
      <c r="B124" s="13">
        <f>SUM(B116:B123)</f>
        <v>0</v>
      </c>
      <c r="G124" s="14">
        <f>SUM(G116:G123)</f>
        <v>0</v>
      </c>
    </row>
    <row r="144" spans="1:10" x14ac:dyDescent="0.25">
      <c r="A144" s="29" t="s">
        <v>29</v>
      </c>
      <c r="B144" s="28"/>
      <c r="C144" s="28"/>
      <c r="D144" s="28"/>
      <c r="E144" s="28"/>
      <c r="F144" s="28"/>
      <c r="G144" s="28"/>
      <c r="H144" s="28"/>
      <c r="I144" s="28"/>
      <c r="J144" s="28"/>
    </row>
    <row r="145" spans="1:9" x14ac:dyDescent="0.25">
      <c r="A145" s="3" t="s">
        <v>3</v>
      </c>
      <c r="B145" s="4">
        <v>0</v>
      </c>
    </row>
    <row r="146" spans="1:9" x14ac:dyDescent="0.25">
      <c r="A146" s="3" t="s">
        <v>4</v>
      </c>
      <c r="B146" s="4">
        <v>0</v>
      </c>
    </row>
    <row r="147" spans="1:9" x14ac:dyDescent="0.25">
      <c r="A147" s="3" t="s">
        <v>5</v>
      </c>
      <c r="B147" s="4">
        <v>0</v>
      </c>
    </row>
    <row r="148" spans="1:9" x14ac:dyDescent="0.25">
      <c r="A148" s="3" t="s">
        <v>6</v>
      </c>
      <c r="B148" s="4">
        <v>200</v>
      </c>
    </row>
    <row r="150" spans="1:9" x14ac:dyDescent="0.25">
      <c r="A150" s="18" t="s">
        <v>7</v>
      </c>
      <c r="B150" s="18" t="s">
        <v>8</v>
      </c>
      <c r="C150" s="18" t="s">
        <v>9</v>
      </c>
      <c r="D150" s="18" t="s">
        <v>10</v>
      </c>
      <c r="E150" s="18" t="s">
        <v>11</v>
      </c>
      <c r="F150" s="18" t="s">
        <v>12</v>
      </c>
      <c r="G150" s="18" t="s">
        <v>13</v>
      </c>
      <c r="H150" s="18" t="s">
        <v>14</v>
      </c>
      <c r="I150" s="18" t="s">
        <v>15</v>
      </c>
    </row>
    <row r="151" spans="1:9" x14ac:dyDescent="0.25">
      <c r="A151" s="3" t="s">
        <v>16</v>
      </c>
      <c r="B151" s="6">
        <v>0</v>
      </c>
      <c r="C151" s="7" t="s">
        <v>17</v>
      </c>
      <c r="D151" s="8">
        <f t="shared" ref="D151:D158" si="24">$B$145*$B$148</f>
        <v>0</v>
      </c>
      <c r="E151" s="9">
        <f t="shared" ref="E151:E158" si="25">D151*0.2</f>
        <v>0</v>
      </c>
      <c r="F151" s="8">
        <f t="shared" ref="F151:F158" si="26">$B$146</f>
        <v>0</v>
      </c>
      <c r="G151" s="10">
        <f t="shared" ref="G151:G158" si="27">MIN(B151, IF(C151="Y", D151+E151, D151), F151)</f>
        <v>0</v>
      </c>
      <c r="H151" s="11">
        <f t="shared" ref="H151:H158" si="28">IF(C151="Y", 60, 40)</f>
        <v>40</v>
      </c>
      <c r="I151" s="3" t="str">
        <f t="shared" ref="I151:I158" si="29">IF(B151&gt;F151, "SHIPMENT NEEDED!", "OK")</f>
        <v>OK</v>
      </c>
    </row>
    <row r="152" spans="1:9" x14ac:dyDescent="0.25">
      <c r="A152" s="3" t="s">
        <v>18</v>
      </c>
      <c r="B152" s="6">
        <v>0</v>
      </c>
      <c r="C152" s="7" t="s">
        <v>17</v>
      </c>
      <c r="D152" s="8">
        <f t="shared" si="24"/>
        <v>0</v>
      </c>
      <c r="E152" s="9">
        <f t="shared" si="25"/>
        <v>0</v>
      </c>
      <c r="F152" s="8">
        <f t="shared" si="26"/>
        <v>0</v>
      </c>
      <c r="G152" s="10">
        <f t="shared" si="27"/>
        <v>0</v>
      </c>
      <c r="H152" s="11">
        <f t="shared" si="28"/>
        <v>40</v>
      </c>
      <c r="I152" s="3" t="str">
        <f t="shared" si="29"/>
        <v>OK</v>
      </c>
    </row>
    <row r="153" spans="1:9" x14ac:dyDescent="0.25">
      <c r="A153" s="3" t="s">
        <v>19</v>
      </c>
      <c r="B153" s="6">
        <v>0</v>
      </c>
      <c r="C153" s="7" t="s">
        <v>17</v>
      </c>
      <c r="D153" s="8">
        <f t="shared" si="24"/>
        <v>0</v>
      </c>
      <c r="E153" s="9">
        <f t="shared" si="25"/>
        <v>0</v>
      </c>
      <c r="F153" s="8">
        <f t="shared" si="26"/>
        <v>0</v>
      </c>
      <c r="G153" s="10">
        <f t="shared" si="27"/>
        <v>0</v>
      </c>
      <c r="H153" s="11">
        <f t="shared" si="28"/>
        <v>40</v>
      </c>
      <c r="I153" s="3" t="str">
        <f t="shared" si="29"/>
        <v>OK</v>
      </c>
    </row>
    <row r="154" spans="1:9" x14ac:dyDescent="0.25">
      <c r="A154" s="3" t="s">
        <v>20</v>
      </c>
      <c r="B154" s="6">
        <v>0</v>
      </c>
      <c r="C154" s="7" t="s">
        <v>17</v>
      </c>
      <c r="D154" s="8">
        <f t="shared" si="24"/>
        <v>0</v>
      </c>
      <c r="E154" s="9">
        <f t="shared" si="25"/>
        <v>0</v>
      </c>
      <c r="F154" s="8">
        <f t="shared" si="26"/>
        <v>0</v>
      </c>
      <c r="G154" s="10">
        <f t="shared" si="27"/>
        <v>0</v>
      </c>
      <c r="H154" s="11">
        <f t="shared" si="28"/>
        <v>40</v>
      </c>
      <c r="I154" s="3" t="str">
        <f t="shared" si="29"/>
        <v>OK</v>
      </c>
    </row>
    <row r="155" spans="1:9" x14ac:dyDescent="0.25">
      <c r="A155" s="3" t="s">
        <v>21</v>
      </c>
      <c r="B155" s="6">
        <v>0</v>
      </c>
      <c r="C155" s="7" t="s">
        <v>17</v>
      </c>
      <c r="D155" s="8">
        <f t="shared" si="24"/>
        <v>0</v>
      </c>
      <c r="E155" s="9">
        <f t="shared" si="25"/>
        <v>0</v>
      </c>
      <c r="F155" s="8">
        <f t="shared" si="26"/>
        <v>0</v>
      </c>
      <c r="G155" s="10">
        <f t="shared" si="27"/>
        <v>0</v>
      </c>
      <c r="H155" s="11">
        <f t="shared" si="28"/>
        <v>40</v>
      </c>
      <c r="I155" s="3" t="str">
        <f t="shared" si="29"/>
        <v>OK</v>
      </c>
    </row>
    <row r="156" spans="1:9" x14ac:dyDescent="0.25">
      <c r="A156" s="3" t="s">
        <v>22</v>
      </c>
      <c r="B156" s="6">
        <v>0</v>
      </c>
      <c r="C156" s="7" t="s">
        <v>17</v>
      </c>
      <c r="D156" s="8">
        <f t="shared" si="24"/>
        <v>0</v>
      </c>
      <c r="E156" s="9">
        <f t="shared" si="25"/>
        <v>0</v>
      </c>
      <c r="F156" s="8">
        <f t="shared" si="26"/>
        <v>0</v>
      </c>
      <c r="G156" s="10">
        <f t="shared" si="27"/>
        <v>0</v>
      </c>
      <c r="H156" s="11">
        <f t="shared" si="28"/>
        <v>40</v>
      </c>
      <c r="I156" s="3" t="str">
        <f t="shared" si="29"/>
        <v>OK</v>
      </c>
    </row>
    <row r="157" spans="1:9" x14ac:dyDescent="0.25">
      <c r="A157" s="3" t="s">
        <v>23</v>
      </c>
      <c r="B157" s="6">
        <v>0</v>
      </c>
      <c r="C157" s="7" t="s">
        <v>17</v>
      </c>
      <c r="D157" s="8">
        <f t="shared" si="24"/>
        <v>0</v>
      </c>
      <c r="E157" s="9">
        <f t="shared" si="25"/>
        <v>0</v>
      </c>
      <c r="F157" s="8">
        <f t="shared" si="26"/>
        <v>0</v>
      </c>
      <c r="G157" s="10">
        <f t="shared" si="27"/>
        <v>0</v>
      </c>
      <c r="H157" s="11">
        <f t="shared" si="28"/>
        <v>40</v>
      </c>
      <c r="I157" s="3" t="str">
        <f t="shared" si="29"/>
        <v>OK</v>
      </c>
    </row>
    <row r="158" spans="1:9" x14ac:dyDescent="0.25">
      <c r="A158" s="3" t="s">
        <v>24</v>
      </c>
      <c r="B158" s="6">
        <v>0</v>
      </c>
      <c r="C158" s="7" t="s">
        <v>17</v>
      </c>
      <c r="D158" s="8">
        <f t="shared" si="24"/>
        <v>0</v>
      </c>
      <c r="E158" s="9">
        <f t="shared" si="25"/>
        <v>0</v>
      </c>
      <c r="F158" s="8">
        <f t="shared" si="26"/>
        <v>0</v>
      </c>
      <c r="G158" s="10">
        <f t="shared" si="27"/>
        <v>0</v>
      </c>
      <c r="H158" s="11">
        <f t="shared" si="28"/>
        <v>40</v>
      </c>
      <c r="I158" s="3" t="str">
        <f t="shared" si="29"/>
        <v>OK</v>
      </c>
    </row>
    <row r="159" spans="1:9" x14ac:dyDescent="0.25">
      <c r="A159" s="12" t="s">
        <v>25</v>
      </c>
      <c r="B159" s="13">
        <f>SUM(B151:B158)</f>
        <v>0</v>
      </c>
      <c r="G159" s="14">
        <f>SUM(G151:G158)</f>
        <v>0</v>
      </c>
    </row>
  </sheetData>
  <mergeCells count="5">
    <mergeCell ref="A74:J74"/>
    <mergeCell ref="A144:J144"/>
    <mergeCell ref="A39:J39"/>
    <mergeCell ref="A109:J109"/>
    <mergeCell ref="A4:J4"/>
  </mergeCells>
  <conditionalFormatting sqref="G11:G18">
    <cfRule type="expression" dxfId="9" priority="1" stopIfTrue="1">
      <formula>G11&lt;B11</formula>
    </cfRule>
  </conditionalFormatting>
  <conditionalFormatting sqref="G46:G53">
    <cfRule type="expression" dxfId="8" priority="3" stopIfTrue="1">
      <formula>G46&lt;B46</formula>
    </cfRule>
  </conditionalFormatting>
  <conditionalFormatting sqref="G81:G88">
    <cfRule type="expression" dxfId="7" priority="5" stopIfTrue="1">
      <formula>G81&lt;B81</formula>
    </cfRule>
  </conditionalFormatting>
  <conditionalFormatting sqref="G116:G123">
    <cfRule type="expression" dxfId="6" priority="7" stopIfTrue="1">
      <formula>G116&lt;B116</formula>
    </cfRule>
  </conditionalFormatting>
  <conditionalFormatting sqref="G151:G158">
    <cfRule type="expression" dxfId="5" priority="9" stopIfTrue="1">
      <formula>G151&lt;B151</formula>
    </cfRule>
  </conditionalFormatting>
  <conditionalFormatting sqref="H11:H18">
    <cfRule type="expression" dxfId="4" priority="2">
      <formula>H11&gt;40</formula>
    </cfRule>
  </conditionalFormatting>
  <conditionalFormatting sqref="H46:H53">
    <cfRule type="expression" dxfId="3" priority="4">
      <formula>H46&gt;40</formula>
    </cfRule>
  </conditionalFormatting>
  <conditionalFormatting sqref="H81:H88">
    <cfRule type="expression" dxfId="2" priority="6">
      <formula>H81&gt;40</formula>
    </cfRule>
  </conditionalFormatting>
  <conditionalFormatting sqref="H116:H123">
    <cfRule type="expression" dxfId="1" priority="8">
      <formula>H116&gt;40</formula>
    </cfRule>
  </conditionalFormatting>
  <conditionalFormatting sqref="H151:H158">
    <cfRule type="expression" dxfId="0" priority="10">
      <formula>H151&gt;40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2"/>
  <sheetViews>
    <sheetView workbookViewId="0"/>
  </sheetViews>
  <sheetFormatPr defaultRowHeight="15" x14ac:dyDescent="0.25"/>
  <cols>
    <col min="1" max="1" width="12" customWidth="1"/>
    <col min="2" max="2" width="16" customWidth="1"/>
    <col min="3" max="3" width="18" customWidth="1"/>
    <col min="4" max="4" width="14" customWidth="1"/>
    <col min="5" max="5" width="28" customWidth="1"/>
  </cols>
  <sheetData>
    <row r="1" spans="1:5" ht="18.75" x14ac:dyDescent="0.3">
      <c r="A1" s="1" t="s">
        <v>30</v>
      </c>
    </row>
    <row r="3" spans="1:5" ht="15.75" x14ac:dyDescent="0.25">
      <c r="A3" s="19" t="s">
        <v>31</v>
      </c>
    </row>
    <row r="5" spans="1:5" x14ac:dyDescent="0.25">
      <c r="A5" s="20" t="s">
        <v>32</v>
      </c>
      <c r="B5" s="20" t="s">
        <v>33</v>
      </c>
      <c r="C5" s="20" t="s">
        <v>34</v>
      </c>
      <c r="D5" s="20" t="s">
        <v>35</v>
      </c>
      <c r="E5" s="20" t="s">
        <v>36</v>
      </c>
    </row>
    <row r="6" spans="1:5" x14ac:dyDescent="0.25">
      <c r="A6" s="21" t="s">
        <v>37</v>
      </c>
      <c r="B6" s="3" t="s">
        <v>38</v>
      </c>
      <c r="C6" s="6">
        <v>20</v>
      </c>
      <c r="D6" s="8">
        <f t="shared" ref="D6:D20" si="0">C6*5</f>
        <v>100</v>
      </c>
      <c r="E6" s="22" t="s">
        <v>39</v>
      </c>
    </row>
    <row r="7" spans="1:5" x14ac:dyDescent="0.25">
      <c r="A7" s="21" t="s">
        <v>37</v>
      </c>
      <c r="B7" s="3" t="s">
        <v>40</v>
      </c>
      <c r="C7" s="6">
        <v>20</v>
      </c>
      <c r="D7" s="8">
        <f t="shared" si="0"/>
        <v>100</v>
      </c>
      <c r="E7" s="22" t="s">
        <v>39</v>
      </c>
    </row>
    <row r="8" spans="1:5" x14ac:dyDescent="0.25">
      <c r="A8" s="21" t="s">
        <v>37</v>
      </c>
      <c r="B8" s="3" t="s">
        <v>41</v>
      </c>
      <c r="C8" s="6">
        <v>17</v>
      </c>
      <c r="D8" s="8">
        <f t="shared" si="0"/>
        <v>85</v>
      </c>
      <c r="E8" s="22" t="s">
        <v>39</v>
      </c>
    </row>
    <row r="9" spans="1:5" x14ac:dyDescent="0.25">
      <c r="A9" s="23" t="s">
        <v>42</v>
      </c>
      <c r="B9" s="3" t="s">
        <v>38</v>
      </c>
      <c r="C9" s="6">
        <v>0</v>
      </c>
      <c r="D9" s="8">
        <f t="shared" si="0"/>
        <v>0</v>
      </c>
      <c r="E9" s="22" t="s">
        <v>39</v>
      </c>
    </row>
    <row r="10" spans="1:5" x14ac:dyDescent="0.25">
      <c r="A10" s="23" t="s">
        <v>42</v>
      </c>
      <c r="B10" s="3" t="s">
        <v>40</v>
      </c>
      <c r="C10" s="6">
        <v>0</v>
      </c>
      <c r="D10" s="8">
        <f t="shared" si="0"/>
        <v>0</v>
      </c>
      <c r="E10" s="22" t="s">
        <v>39</v>
      </c>
    </row>
    <row r="11" spans="1:5" x14ac:dyDescent="0.25">
      <c r="A11" s="23" t="s">
        <v>42</v>
      </c>
      <c r="B11" s="3" t="s">
        <v>41</v>
      </c>
      <c r="C11" s="6">
        <v>0</v>
      </c>
      <c r="D11" s="8">
        <f t="shared" si="0"/>
        <v>0</v>
      </c>
      <c r="E11" s="22" t="s">
        <v>39</v>
      </c>
    </row>
    <row r="12" spans="1:5" x14ac:dyDescent="0.25">
      <c r="A12" s="24" t="s">
        <v>43</v>
      </c>
      <c r="B12" s="3" t="s">
        <v>38</v>
      </c>
      <c r="C12" s="6">
        <v>0</v>
      </c>
      <c r="D12" s="8">
        <f t="shared" si="0"/>
        <v>0</v>
      </c>
      <c r="E12" s="22" t="s">
        <v>39</v>
      </c>
    </row>
    <row r="13" spans="1:5" x14ac:dyDescent="0.25">
      <c r="A13" s="24" t="s">
        <v>43</v>
      </c>
      <c r="B13" s="3" t="s">
        <v>40</v>
      </c>
      <c r="C13" s="6">
        <v>0</v>
      </c>
      <c r="D13" s="8">
        <f t="shared" si="0"/>
        <v>0</v>
      </c>
      <c r="E13" s="22" t="s">
        <v>39</v>
      </c>
    </row>
    <row r="14" spans="1:5" x14ac:dyDescent="0.25">
      <c r="A14" s="24" t="s">
        <v>43</v>
      </c>
      <c r="B14" s="3" t="s">
        <v>41</v>
      </c>
      <c r="C14" s="6">
        <v>0</v>
      </c>
      <c r="D14" s="8">
        <f t="shared" si="0"/>
        <v>0</v>
      </c>
      <c r="E14" s="22" t="s">
        <v>39</v>
      </c>
    </row>
    <row r="15" spans="1:5" x14ac:dyDescent="0.25">
      <c r="A15" s="25" t="s">
        <v>44</v>
      </c>
      <c r="B15" s="3" t="s">
        <v>38</v>
      </c>
      <c r="C15" s="6">
        <v>0</v>
      </c>
      <c r="D15" s="8">
        <f t="shared" si="0"/>
        <v>0</v>
      </c>
      <c r="E15" s="22" t="s">
        <v>39</v>
      </c>
    </row>
    <row r="16" spans="1:5" x14ac:dyDescent="0.25">
      <c r="A16" s="25" t="s">
        <v>44</v>
      </c>
      <c r="B16" s="3" t="s">
        <v>40</v>
      </c>
      <c r="C16" s="6">
        <v>0</v>
      </c>
      <c r="D16" s="8">
        <f t="shared" si="0"/>
        <v>0</v>
      </c>
      <c r="E16" s="22" t="s">
        <v>39</v>
      </c>
    </row>
    <row r="17" spans="1:5" x14ac:dyDescent="0.25">
      <c r="A17" s="25" t="s">
        <v>44</v>
      </c>
      <c r="B17" s="3" t="s">
        <v>41</v>
      </c>
      <c r="C17" s="6">
        <v>0</v>
      </c>
      <c r="D17" s="8">
        <f t="shared" si="0"/>
        <v>0</v>
      </c>
      <c r="E17" s="22" t="s">
        <v>39</v>
      </c>
    </row>
    <row r="18" spans="1:5" x14ac:dyDescent="0.25">
      <c r="A18" s="26" t="s">
        <v>45</v>
      </c>
      <c r="B18" s="3" t="s">
        <v>38</v>
      </c>
      <c r="C18" s="6">
        <v>0</v>
      </c>
      <c r="D18" s="8">
        <f t="shared" si="0"/>
        <v>0</v>
      </c>
      <c r="E18" s="22" t="s">
        <v>39</v>
      </c>
    </row>
    <row r="19" spans="1:5" x14ac:dyDescent="0.25">
      <c r="A19" s="26" t="s">
        <v>45</v>
      </c>
      <c r="B19" s="3" t="s">
        <v>40</v>
      </c>
      <c r="C19" s="6">
        <v>0</v>
      </c>
      <c r="D19" s="8">
        <f t="shared" si="0"/>
        <v>0</v>
      </c>
      <c r="E19" s="22" t="s">
        <v>39</v>
      </c>
    </row>
    <row r="20" spans="1:5" x14ac:dyDescent="0.25">
      <c r="A20" s="26" t="s">
        <v>45</v>
      </c>
      <c r="B20" s="3" t="s">
        <v>41</v>
      </c>
      <c r="C20" s="6">
        <v>0</v>
      </c>
      <c r="D20" s="8">
        <f t="shared" si="0"/>
        <v>0</v>
      </c>
      <c r="E20" s="22" t="s">
        <v>39</v>
      </c>
    </row>
    <row r="24" spans="1:5" ht="15.75" x14ac:dyDescent="0.25">
      <c r="A24" s="19" t="s">
        <v>46</v>
      </c>
    </row>
    <row r="26" spans="1:5" x14ac:dyDescent="0.25">
      <c r="A26" s="20" t="s">
        <v>32</v>
      </c>
      <c r="B26" s="20" t="s">
        <v>47</v>
      </c>
      <c r="C26" s="20" t="s">
        <v>48</v>
      </c>
      <c r="D26" s="20" t="s">
        <v>49</v>
      </c>
      <c r="E26" s="20" t="s">
        <v>50</v>
      </c>
    </row>
    <row r="27" spans="1:5" x14ac:dyDescent="0.25">
      <c r="A27" s="21" t="s">
        <v>37</v>
      </c>
      <c r="B27" s="4">
        <f>ZONE_CALCULATORS!B19</f>
        <v>25278</v>
      </c>
      <c r="C27" s="3">
        <v>156</v>
      </c>
      <c r="D27" s="8">
        <f>B27-(C27*200)</f>
        <v>-5922</v>
      </c>
      <c r="E27" s="22" t="str">
        <f>IF(B27&gt;0, IF(D27&gt;0, "Buy "&amp;ROUNDUP(D27/200,0)&amp;" machines", "OK"), "No Target")</f>
        <v>OK</v>
      </c>
    </row>
    <row r="28" spans="1:5" x14ac:dyDescent="0.25">
      <c r="A28" s="23" t="s">
        <v>42</v>
      </c>
      <c r="B28" s="4">
        <f>ZONE_CALCULATORS!B54</f>
        <v>6128</v>
      </c>
      <c r="C28" s="3">
        <v>0</v>
      </c>
      <c r="D28" s="8">
        <f>B28-(C28*200)</f>
        <v>6128</v>
      </c>
      <c r="E28" s="22" t="str">
        <f>IF(B28&gt;0, IF(D28&gt;0, "Buy "&amp;ROUNDUP(D28/200,0)&amp;" machines", "OK"), "No Target")</f>
        <v>Buy 31 machines</v>
      </c>
    </row>
    <row r="29" spans="1:5" x14ac:dyDescent="0.25">
      <c r="A29" s="24" t="s">
        <v>43</v>
      </c>
      <c r="B29" s="4">
        <f>ZONE_CALCULATORS!B89</f>
        <v>0</v>
      </c>
      <c r="C29" s="3">
        <v>0</v>
      </c>
      <c r="D29" s="8">
        <f>B29-(C29*200)</f>
        <v>0</v>
      </c>
      <c r="E29" s="22" t="str">
        <f>IF(B29&gt;0, IF(D29&gt;0, "Buy "&amp;ROUNDUP(D29/200,0)&amp;" machines", "OK"), "No Target")</f>
        <v>No Target</v>
      </c>
    </row>
    <row r="30" spans="1:5" x14ac:dyDescent="0.25">
      <c r="A30" s="25" t="s">
        <v>44</v>
      </c>
      <c r="B30" s="4">
        <f>ZONE_CALCULATORS!B124</f>
        <v>0</v>
      </c>
      <c r="C30" s="3">
        <v>0</v>
      </c>
      <c r="D30" s="8">
        <f>B30-(C30*200)</f>
        <v>0</v>
      </c>
      <c r="E30" s="22" t="str">
        <f>IF(B30&gt;0, IF(D30&gt;0, "Buy "&amp;ROUNDUP(D30/200,0)&amp;" machines", "OK"), "No Target")</f>
        <v>No Target</v>
      </c>
    </row>
    <row r="31" spans="1:5" x14ac:dyDescent="0.25">
      <c r="A31" s="26" t="s">
        <v>45</v>
      </c>
      <c r="B31" s="4">
        <f>ZONE_CALCULATORS!B159</f>
        <v>0</v>
      </c>
      <c r="C31" s="3">
        <v>0</v>
      </c>
      <c r="D31" s="8">
        <f>B31-(C31*200)</f>
        <v>0</v>
      </c>
      <c r="E31" s="22" t="str">
        <f>IF(B31&gt;0, IF(D31&gt;0, "Buy "&amp;ROUNDUP(D31/200,0)&amp;" machines", "OK"), "No Target")</f>
        <v>No Target</v>
      </c>
    </row>
    <row r="35" spans="1:5" ht="15.75" x14ac:dyDescent="0.25">
      <c r="A35" s="19" t="s">
        <v>51</v>
      </c>
    </row>
    <row r="37" spans="1:5" x14ac:dyDescent="0.25">
      <c r="A37" s="20" t="s">
        <v>32</v>
      </c>
      <c r="B37" s="20" t="s">
        <v>52</v>
      </c>
      <c r="C37" s="20" t="s">
        <v>53</v>
      </c>
      <c r="D37" s="20" t="s">
        <v>54</v>
      </c>
      <c r="E37" s="20" t="s">
        <v>50</v>
      </c>
    </row>
    <row r="38" spans="1:5" x14ac:dyDescent="0.25">
      <c r="A38" s="21" t="s">
        <v>37</v>
      </c>
      <c r="B38" s="3">
        <v>156</v>
      </c>
      <c r="C38" s="3">
        <v>0</v>
      </c>
      <c r="D38" s="8">
        <f>C38-B38</f>
        <v>-156</v>
      </c>
      <c r="E38" s="22" t="str">
        <f>IF(D38&lt;5, "Buy module in Center", "OK")</f>
        <v>Buy module in Center</v>
      </c>
    </row>
    <row r="39" spans="1:5" x14ac:dyDescent="0.25">
      <c r="A39" s="23" t="s">
        <v>42</v>
      </c>
      <c r="B39" s="3">
        <v>0</v>
      </c>
      <c r="C39" s="3">
        <v>0</v>
      </c>
      <c r="D39" s="8">
        <f>C39-B39</f>
        <v>0</v>
      </c>
      <c r="E39" s="22" t="str">
        <f>IF(D39&lt;5, "Buy module in West", "OK")</f>
        <v>Buy module in West</v>
      </c>
    </row>
    <row r="40" spans="1:5" x14ac:dyDescent="0.25">
      <c r="A40" s="24" t="s">
        <v>43</v>
      </c>
      <c r="B40" s="3">
        <v>0</v>
      </c>
      <c r="C40" s="3">
        <v>0</v>
      </c>
      <c r="D40" s="8">
        <f>C40-B40</f>
        <v>0</v>
      </c>
      <c r="E40" s="22" t="str">
        <f>IF(D40&lt;5, "Buy module in North", "OK")</f>
        <v>Buy module in North</v>
      </c>
    </row>
    <row r="41" spans="1:5" x14ac:dyDescent="0.25">
      <c r="A41" s="25" t="s">
        <v>44</v>
      </c>
      <c r="B41" s="3">
        <v>0</v>
      </c>
      <c r="C41" s="3">
        <v>0</v>
      </c>
      <c r="D41" s="8">
        <f>C41-B41</f>
        <v>0</v>
      </c>
      <c r="E41" s="22" t="str">
        <f>IF(D41&lt;5, "Buy module in East", "OK")</f>
        <v>Buy module in East</v>
      </c>
    </row>
    <row r="42" spans="1:5" x14ac:dyDescent="0.25">
      <c r="A42" s="26" t="s">
        <v>45</v>
      </c>
      <c r="B42" s="3">
        <v>0</v>
      </c>
      <c r="C42" s="3">
        <v>0</v>
      </c>
      <c r="D42" s="8">
        <f>C42-B42</f>
        <v>0</v>
      </c>
      <c r="E42" s="22" t="str">
        <f>IF(D42&lt;5, "Buy module in South", "OK")</f>
        <v>Buy module in South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3"/>
  <sheetViews>
    <sheetView workbookViewId="0"/>
  </sheetViews>
  <sheetFormatPr defaultRowHeight="15" x14ac:dyDescent="0.25"/>
  <cols>
    <col min="1" max="4" width="15" customWidth="1"/>
  </cols>
  <sheetData>
    <row r="1" spans="1:4" ht="18.75" x14ac:dyDescent="0.3">
      <c r="A1" s="1" t="s">
        <v>55</v>
      </c>
    </row>
    <row r="2" spans="1:4" x14ac:dyDescent="0.25">
      <c r="A2" s="2" t="s">
        <v>56</v>
      </c>
    </row>
    <row r="4" spans="1:4" ht="15.75" x14ac:dyDescent="0.25">
      <c r="A4" s="19" t="s">
        <v>57</v>
      </c>
    </row>
    <row r="5" spans="1:4" x14ac:dyDescent="0.25">
      <c r="A5" s="20" t="s">
        <v>32</v>
      </c>
      <c r="B5" s="20" t="s">
        <v>58</v>
      </c>
      <c r="C5" s="20" t="s">
        <v>8</v>
      </c>
      <c r="D5" s="20" t="s">
        <v>9</v>
      </c>
    </row>
    <row r="6" spans="1:4" x14ac:dyDescent="0.25">
      <c r="A6" s="21" t="s">
        <v>37</v>
      </c>
      <c r="B6" s="3" t="s">
        <v>59</v>
      </c>
      <c r="C6" s="8">
        <f>ZONE_CALCULATORS!G19</f>
        <v>752</v>
      </c>
      <c r="D6" s="8" t="str">
        <f>ZONE_CALCULATORS!C11</f>
        <v>N</v>
      </c>
    </row>
    <row r="7" spans="1:4" x14ac:dyDescent="0.25">
      <c r="A7" s="23" t="s">
        <v>42</v>
      </c>
      <c r="B7" s="3" t="s">
        <v>59</v>
      </c>
      <c r="C7" s="8">
        <f>ZONE_CALCULATORS!G54</f>
        <v>0</v>
      </c>
      <c r="D7" s="8" t="str">
        <f>ZONE_CALCULATORS!C46</f>
        <v>N</v>
      </c>
    </row>
    <row r="8" spans="1:4" x14ac:dyDescent="0.25">
      <c r="A8" s="24" t="s">
        <v>43</v>
      </c>
      <c r="B8" s="3" t="s">
        <v>59</v>
      </c>
      <c r="C8" s="8">
        <f>ZONE_CALCULATORS!G89</f>
        <v>0</v>
      </c>
      <c r="D8" s="8" t="str">
        <f>ZONE_CALCULATORS!C81</f>
        <v>N</v>
      </c>
    </row>
    <row r="9" spans="1:4" x14ac:dyDescent="0.25">
      <c r="A9" s="25" t="s">
        <v>44</v>
      </c>
      <c r="B9" s="3" t="s">
        <v>59</v>
      </c>
      <c r="C9" s="8">
        <f>ZONE_CALCULATORS!G124</f>
        <v>0</v>
      </c>
      <c r="D9" s="8" t="str">
        <f>ZONE_CALCULATORS!C116</f>
        <v>N</v>
      </c>
    </row>
    <row r="10" spans="1:4" x14ac:dyDescent="0.25">
      <c r="A10" s="26" t="s">
        <v>45</v>
      </c>
      <c r="B10" s="3" t="s">
        <v>59</v>
      </c>
      <c r="C10" s="8">
        <f>ZONE_CALCULATORS!G159</f>
        <v>0</v>
      </c>
      <c r="D10" s="8" t="str">
        <f>ZONE_CALCULATORS!C151</f>
        <v>N</v>
      </c>
    </row>
    <row r="13" spans="1:4" ht="15.75" x14ac:dyDescent="0.25">
      <c r="A13" s="19" t="s">
        <v>60</v>
      </c>
    </row>
    <row r="14" spans="1:4" x14ac:dyDescent="0.25">
      <c r="A14" s="20" t="s">
        <v>32</v>
      </c>
      <c r="B14" s="20" t="s">
        <v>61</v>
      </c>
      <c r="C14" s="20" t="s">
        <v>62</v>
      </c>
    </row>
    <row r="15" spans="1:4" x14ac:dyDescent="0.25">
      <c r="A15" s="21" t="s">
        <v>37</v>
      </c>
      <c r="B15" s="3" t="s">
        <v>63</v>
      </c>
      <c r="C15" s="6">
        <v>0</v>
      </c>
    </row>
    <row r="16" spans="1:4" x14ac:dyDescent="0.25">
      <c r="A16" s="21" t="s">
        <v>37</v>
      </c>
      <c r="B16" s="3" t="s">
        <v>64</v>
      </c>
      <c r="C16" s="6">
        <v>0</v>
      </c>
    </row>
    <row r="17" spans="1:4" x14ac:dyDescent="0.25">
      <c r="A17" s="23" t="s">
        <v>42</v>
      </c>
      <c r="B17" s="3" t="s">
        <v>63</v>
      </c>
      <c r="C17" s="6">
        <v>0</v>
      </c>
    </row>
    <row r="18" spans="1:4" x14ac:dyDescent="0.25">
      <c r="A18" s="23" t="s">
        <v>42</v>
      </c>
      <c r="B18" s="3" t="s">
        <v>64</v>
      </c>
      <c r="C18" s="6">
        <v>0</v>
      </c>
    </row>
    <row r="19" spans="1:4" x14ac:dyDescent="0.25">
      <c r="A19" s="24" t="s">
        <v>43</v>
      </c>
      <c r="B19" s="3" t="s">
        <v>63</v>
      </c>
      <c r="C19" s="6">
        <v>0</v>
      </c>
    </row>
    <row r="20" spans="1:4" x14ac:dyDescent="0.25">
      <c r="A20" s="24" t="s">
        <v>43</v>
      </c>
      <c r="B20" s="3" t="s">
        <v>64</v>
      </c>
      <c r="C20" s="6">
        <v>0</v>
      </c>
    </row>
    <row r="21" spans="1:4" x14ac:dyDescent="0.25">
      <c r="A21" s="25" t="s">
        <v>44</v>
      </c>
      <c r="B21" s="3" t="s">
        <v>63</v>
      </c>
      <c r="C21" s="6">
        <v>0</v>
      </c>
    </row>
    <row r="22" spans="1:4" x14ac:dyDescent="0.25">
      <c r="A22" s="25" t="s">
        <v>44</v>
      </c>
      <c r="B22" s="3" t="s">
        <v>64</v>
      </c>
      <c r="C22" s="6">
        <v>0</v>
      </c>
    </row>
    <row r="23" spans="1:4" x14ac:dyDescent="0.25">
      <c r="A23" s="26" t="s">
        <v>45</v>
      </c>
      <c r="B23" s="3" t="s">
        <v>63</v>
      </c>
      <c r="C23" s="6">
        <v>0</v>
      </c>
    </row>
    <row r="24" spans="1:4" x14ac:dyDescent="0.25">
      <c r="A24" s="26" t="s">
        <v>45</v>
      </c>
      <c r="B24" s="3" t="s">
        <v>64</v>
      </c>
      <c r="C24" s="6">
        <v>0</v>
      </c>
    </row>
    <row r="27" spans="1:4" ht="15.75" x14ac:dyDescent="0.25">
      <c r="A27" s="19" t="s">
        <v>65</v>
      </c>
    </row>
    <row r="28" spans="1:4" x14ac:dyDescent="0.25">
      <c r="A28" s="20" t="s">
        <v>32</v>
      </c>
      <c r="B28" s="20" t="s">
        <v>33</v>
      </c>
      <c r="C28" s="20" t="s">
        <v>52</v>
      </c>
      <c r="D28" s="20" t="s">
        <v>66</v>
      </c>
    </row>
    <row r="29" spans="1:4" x14ac:dyDescent="0.25">
      <c r="A29" s="21" t="s">
        <v>37</v>
      </c>
      <c r="B29" s="3" t="s">
        <v>38</v>
      </c>
      <c r="C29" s="8">
        <f>RESOURCE_MGR!C6</f>
        <v>20</v>
      </c>
      <c r="D29" s="8">
        <f>RESOURCE_MGR!D6</f>
        <v>100</v>
      </c>
    </row>
    <row r="30" spans="1:4" x14ac:dyDescent="0.25">
      <c r="A30" s="21" t="s">
        <v>37</v>
      </c>
      <c r="B30" s="3" t="s">
        <v>40</v>
      </c>
      <c r="C30" s="8">
        <f>RESOURCE_MGR!C7</f>
        <v>20</v>
      </c>
      <c r="D30" s="8">
        <f>RESOURCE_MGR!D7</f>
        <v>100</v>
      </c>
    </row>
    <row r="31" spans="1:4" x14ac:dyDescent="0.25">
      <c r="A31" s="21" t="s">
        <v>37</v>
      </c>
      <c r="B31" s="3" t="s">
        <v>41</v>
      </c>
      <c r="C31" s="8">
        <f>RESOURCE_MGR!C8</f>
        <v>17</v>
      </c>
      <c r="D31" s="8">
        <f>RESOURCE_MGR!D8</f>
        <v>85</v>
      </c>
    </row>
    <row r="32" spans="1:4" x14ac:dyDescent="0.25">
      <c r="A32" s="23" t="s">
        <v>42</v>
      </c>
      <c r="B32" s="3" t="s">
        <v>38</v>
      </c>
      <c r="C32" s="8">
        <f>RESOURCE_MGR!C9</f>
        <v>0</v>
      </c>
      <c r="D32" s="8">
        <f>RESOURCE_MGR!D9</f>
        <v>0</v>
      </c>
    </row>
    <row r="33" spans="1:4" x14ac:dyDescent="0.25">
      <c r="A33" s="23" t="s">
        <v>42</v>
      </c>
      <c r="B33" s="3" t="s">
        <v>40</v>
      </c>
      <c r="C33" s="8">
        <f>RESOURCE_MGR!C10</f>
        <v>0</v>
      </c>
      <c r="D33" s="8">
        <f>RESOURCE_MGR!D10</f>
        <v>0</v>
      </c>
    </row>
    <row r="34" spans="1:4" x14ac:dyDescent="0.25">
      <c r="A34" s="23" t="s">
        <v>42</v>
      </c>
      <c r="B34" s="3" t="s">
        <v>41</v>
      </c>
      <c r="C34" s="8">
        <f>RESOURCE_MGR!C11</f>
        <v>0</v>
      </c>
      <c r="D34" s="8">
        <f>RESOURCE_MGR!D11</f>
        <v>0</v>
      </c>
    </row>
    <row r="35" spans="1:4" x14ac:dyDescent="0.25">
      <c r="A35" s="24" t="s">
        <v>43</v>
      </c>
      <c r="B35" s="3" t="s">
        <v>38</v>
      </c>
      <c r="C35" s="8">
        <f>RESOURCE_MGR!C12</f>
        <v>0</v>
      </c>
      <c r="D35" s="8">
        <f>RESOURCE_MGR!D12</f>
        <v>0</v>
      </c>
    </row>
    <row r="36" spans="1:4" x14ac:dyDescent="0.25">
      <c r="A36" s="24" t="s">
        <v>43</v>
      </c>
      <c r="B36" s="3" t="s">
        <v>40</v>
      </c>
      <c r="C36" s="8">
        <f>RESOURCE_MGR!C13</f>
        <v>0</v>
      </c>
      <c r="D36" s="8">
        <f>RESOURCE_MGR!D13</f>
        <v>0</v>
      </c>
    </row>
    <row r="37" spans="1:4" x14ac:dyDescent="0.25">
      <c r="A37" s="24" t="s">
        <v>43</v>
      </c>
      <c r="B37" s="3" t="s">
        <v>41</v>
      </c>
      <c r="C37" s="8">
        <f>RESOURCE_MGR!C14</f>
        <v>0</v>
      </c>
      <c r="D37" s="8">
        <f>RESOURCE_MGR!D14</f>
        <v>0</v>
      </c>
    </row>
    <row r="38" spans="1:4" x14ac:dyDescent="0.25">
      <c r="A38" s="25" t="s">
        <v>44</v>
      </c>
      <c r="B38" s="3" t="s">
        <v>38</v>
      </c>
      <c r="C38" s="8">
        <f>RESOURCE_MGR!C15</f>
        <v>0</v>
      </c>
      <c r="D38" s="8">
        <f>RESOURCE_MGR!D15</f>
        <v>0</v>
      </c>
    </row>
    <row r="39" spans="1:4" x14ac:dyDescent="0.25">
      <c r="A39" s="25" t="s">
        <v>44</v>
      </c>
      <c r="B39" s="3" t="s">
        <v>40</v>
      </c>
      <c r="C39" s="8">
        <f>RESOURCE_MGR!C16</f>
        <v>0</v>
      </c>
      <c r="D39" s="8">
        <f>RESOURCE_MGR!D16</f>
        <v>0</v>
      </c>
    </row>
    <row r="40" spans="1:4" x14ac:dyDescent="0.25">
      <c r="A40" s="25" t="s">
        <v>44</v>
      </c>
      <c r="B40" s="3" t="s">
        <v>41</v>
      </c>
      <c r="C40" s="8">
        <f>RESOURCE_MGR!C17</f>
        <v>0</v>
      </c>
      <c r="D40" s="8">
        <f>RESOURCE_MGR!D17</f>
        <v>0</v>
      </c>
    </row>
    <row r="41" spans="1:4" x14ac:dyDescent="0.25">
      <c r="A41" s="26" t="s">
        <v>45</v>
      </c>
      <c r="B41" s="3" t="s">
        <v>38</v>
      </c>
      <c r="C41" s="8">
        <f>RESOURCE_MGR!C18</f>
        <v>0</v>
      </c>
      <c r="D41" s="8">
        <f>RESOURCE_MGR!D18</f>
        <v>0</v>
      </c>
    </row>
    <row r="42" spans="1:4" x14ac:dyDescent="0.25">
      <c r="A42" s="26" t="s">
        <v>45</v>
      </c>
      <c r="B42" s="3" t="s">
        <v>40</v>
      </c>
      <c r="C42" s="8">
        <f>RESOURCE_MGR!C19</f>
        <v>0</v>
      </c>
      <c r="D42" s="8">
        <f>RESOURCE_MGR!D19</f>
        <v>0</v>
      </c>
    </row>
    <row r="43" spans="1:4" x14ac:dyDescent="0.25">
      <c r="A43" s="26" t="s">
        <v>45</v>
      </c>
      <c r="B43" s="3" t="s">
        <v>41</v>
      </c>
      <c r="C43" s="8">
        <f>RESOURCE_MGR!C20</f>
        <v>0</v>
      </c>
      <c r="D43" s="8">
        <f>RESOURCE_MGR!D20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ZONE_CALCULATORS</vt:lpstr>
      <vt:lpstr>RESOURCE_MGR</vt:lpstr>
      <vt:lpstr>UPLOAD_READY_PRODUCTION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Lichtenstein, Harel</cp:lastModifiedBy>
  <dcterms:created xsi:type="dcterms:W3CDTF">2025-12-29T20:40:11Z</dcterms:created>
  <dcterms:modified xsi:type="dcterms:W3CDTF">2025-12-29T20:42:32Z</dcterms:modified>
</cp:coreProperties>
</file>